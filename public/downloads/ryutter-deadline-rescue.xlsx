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0aba061cf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ad9360aef01f4a21"/>
    <x:sheet xmlns:r="http://schemas.openxmlformats.org/officeDocument/2006/relationships" name="今日の3件" sheetId="2" r:id="R3c26562779d144fe"/>
    <x:sheet xmlns:r="http://schemas.openxmlformats.org/officeDocument/2006/relationships" name="課題入力" sheetId="3" r:id="R26e60e2a2fd74c31"/>
    <x:sheet xmlns:r="http://schemas.openxmlformats.org/officeDocument/2006/relationships" name="RYUTTER取込" sheetId="4" r:id="R194eb13ea60b41d1"/>
  </x:sheets>
</x:workbook>
</file>

<file path=xl/sharedStrings.xml><?xml version="1.0" encoding="utf-8"?>
<x:sst xmlns:x="http://schemas.openxmlformats.org/spreadsheetml/2006/main">
  <x:si>
    <x:t xml:space="preserve">Project Tracker and Weekly Gantt Plan</x:t>
  </x:si>
  <x:si>
    <x:t xml:space="preserve">Project Plan</x:t>
  </x:si>
  <x:si>
    <x:t xml:space="preserve">PROJECT PROFILE</x:t>
  </x:si>
  <x:si>
    <x:t xml:space="preserve">LAUNCH PULSE</x:t>
  </x:si>
  <x:si>
    <x:t xml:space="preserve">Aurora Launch</x:t>
  </x:si>
  <x:si>
    <x:t xml:space="preserve">Jordan Lee</x:t>
  </x:si>
  <x:si>
    <x:t xml:space="preserve">TOTAL TASKS</x:t>
  </x:si>
  <x:si>
    <x:t xml:space="preserve">COMPLETE</x:t>
  </x:si>
  <x:si>
    <x:t xml:space="preserve">IN PROGRESS</x:t>
  </x:si>
  <x:si>
    <x:t xml:space="preserve">AT RISK</x:t>
  </x:si>
  <x:si>
    <x:t xml:space="preserve">P0 TASKS</x:t>
  </x:si>
  <x:si>
    <x:t xml:space="preserve">Northstar Labs</x:t>
  </x:si>
  <x:si>
    <x:t xml:space="preserve">WORKSTREAM PLAN</x:t>
  </x:si>
  <x:si>
    <x:t xml:space="preserve">GANTT — 20-WEEK VIEW</x:t>
  </x:si>
</x:sst>
</file>

<file path=xl/styles.xml><?xml version="1.0" encoding="utf-8"?>
<x:styleSheet xmlns:x="http://schemas.openxmlformats.org/spreadsheetml/2006/main">
  <x:numFmts count="9">
    <x:numFmt numFmtId="164" formatCode="mmm\ d\,\ yyyy"/>
    <x:numFmt numFmtId="165" formatCode="#,##0;[Red]\(#,##0\);\-"/>
    <x:numFmt numFmtId="166" formatCode="mmm\ d"/>
    <x:numFmt numFmtId="167" formatCode=";;;"/>
    <x:numFmt numFmtId="200" formatCode="yyyy/mm/dd"/>
    <x:numFmt numFmtId="201" formatCode="m/d"/>
    <x:numFmt numFmtId="202" formatCode="0"/>
    <x:numFmt numFmtId="203" formatCode="yyyy/m/d"/>
    <x:numFmt numFmtId="204" formatCode="yyyy-mm-dd"/>
  </x:numFmts>
  <x:fonts count="24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sz val="11"/>
      <x:color rgb="FF20243A"/>
      <x:name val="Arial"/>
    </x:font>
    <x:font>
      <x:b/>
      <x:sz val="18"/>
      <x:color rgb="FF44318D"/>
      <x:name val="Arial"/>
    </x:font>
    <x:font>
      <x:b/>
      <x:sz val="11"/>
      <x:color rgb="FFFFFFFF"/>
      <x:name val="Arial"/>
    </x:font>
    <x:font>
      <x:b/>
      <x:sz val="17"/>
      <x:color rgb="FF44318D"/>
      <x:name val="Arial"/>
    </x:font>
    <x:font>
      <x:sz val="10"/>
      <x:color rgb="FF17212B"/>
      <x:name val="Arial"/>
    </x:font>
    <x:font>
      <x:sz val="10"/>
      <x:color rgb="FF0432FF"/>
      <x:name val="Arial"/>
    </x:font>
    <x:font>
      <x:b/>
      <x:sz val="11"/>
      <x:color rgb="FF20243A"/>
      <x:name val="Arial"/>
    </x:font>
    <x:font>
      <x:b/>
      <x:sz val="20"/>
      <x:color rgb="FF44318D"/>
      <x:name val="Arial"/>
    </x:font>
    <x:font>
      <x:sz val="11"/>
      <x:color rgb="FF373354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  <x:fill>
      <x:patternFill patternType="solid">
        <x:fgColor rgb="FF44318D"/>
      </x:patternFill>
    </x:fill>
    <x:fill>
      <x:patternFill patternType="solid">
        <x:fgColor rgb="FFF2EFFF"/>
      </x:patternFill>
    </x:fill>
    <x:fill>
      <x:patternFill patternType="solid">
        <x:fgColor rgb="FFFFF5CC"/>
      </x:patternFill>
    </x:fill>
    <x:fill>
      <x:patternFill patternType="solid">
        <x:fgColor rgb="FF44318D"/>
      </x:patternFill>
    </x:fill>
    <x:fill>
      <x:patternFill patternType="solid">
        <x:fgColor rgb="FFFFFFFF"/>
      </x:patternFill>
    </x:fill>
    <x:fill>
      <x:patternFill patternType="solid">
        <x:fgColor rgb="FFF3F0FF"/>
      </x:patternFill>
    </x:fill>
    <x:fill>
      <x:patternFill patternType="solid">
        <x:fgColor rgb="FFFFFFFF"/>
      </x:patternFill>
    </x:fill>
    <x:fill>
      <x:patternFill patternType="solid">
        <x:fgColor rgb="FFF3F0FF"/>
      </x:patternFill>
    </x:fill>
    <x:fill>
      <x:patternFill patternType="solid">
        <x:fgColor rgb="FF44318D"/>
      </x:patternFill>
    </x:fill>
  </x:fills>
  <x:borders count="20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  <x:border>
      <x:left style="thin">
        <x:color rgb="FFD7CEF7"/>
      </x:left>
      <x:top style="thin">
        <x:color rgb="FFD7CEF7"/>
      </x:top>
    </x:border>
    <x:border>
      <x:top style="thin">
        <x:color rgb="FFD7CEF7"/>
      </x:top>
    </x:border>
    <x:border>
      <x:right style="thin">
        <x:color rgb="FFD7CEF7"/>
      </x:right>
      <x:top style="thin">
        <x:color rgb="FFD7CEF7"/>
      </x:top>
    </x:border>
    <x:border>
      <x:left style="thin">
        <x:color rgb="FFD7CEF7"/>
      </x:left>
      <x:bottom style="thin">
        <x:color rgb="FFD7CEF7"/>
      </x:bottom>
    </x:border>
    <x:border>
      <x:bottom style="thin">
        <x:color rgb="FFD7CEF7"/>
      </x:bottom>
    </x:border>
    <x:border>
      <x:right style="thin">
        <x:color rgb="FFD7CEF7"/>
      </x:right>
      <x:bottom style="thin">
        <x:color rgb="FFD7CEF7"/>
      </x:bottom>
    </x:border>
  </x:borders>
  <x:cellStyleXfs count="1">
    <x:xf numFmtId="0" fontId="0" fillId="0" borderId="0"/>
  </x:cellStyleXfs>
  <x:cellXfs count="144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vertical="center"/>
    </x:xf>
    <x:xf numFmtId="0" fontId="15" fillId="9" borderId="0" xfId="0" applyNumberFormat="1" applyFont="1" applyFill="1" applyBorder="1" applyAlignment="1">
      <x:alignment vertical="center"/>
    </x:xf>
    <x:xf numFmtId="0" fontId="17" fillId="9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 wrapText="1"/>
    </x:xf>
    <x:xf numFmtId="201" fontId="15" fillId="10" borderId="0" xfId="0" applyNumberFormat="1" applyFont="1" applyFill="1" applyBorder="1" applyAlignment="1">
      <x:alignment vertical="center" wrapText="1"/>
    </x:xf>
    <x:xf numFmtId="201" fontId="15" fillId="10" borderId="0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 applyAlignment="1">
      <x:alignment vertical="center"/>
    </x:xf>
    <x:xf numFmtId="0" fontId="15" fillId="11" borderId="0" xfId="0" applyNumberFormat="1" applyFont="1" applyFill="1" applyBorder="1" applyAlignment="1">
      <x:alignment vertical="center"/>
    </x:xf>
    <x:xf numFmtId="0" fontId="15" fillId="11" borderId="0" xfId="0" applyNumberFormat="1" applyFont="1" applyFill="1" applyBorder="1" applyAlignment="1">
      <x:alignment vertical="center" wrapText="1"/>
    </x:xf>
    <x:xf numFmtId="200" fontId="15" fillId="11" borderId="0" xfId="0" applyNumberFormat="1" applyFont="1" applyFill="1" applyBorder="1" applyAlignment="1">
      <x:alignment vertical="center"/>
    </x:xf>
    <x:xf numFmtId="202" fontId="15" fillId="11" borderId="0" xfId="0" applyNumberFormat="1" applyFont="1" applyFill="1" applyBorder="1" applyAlignment="1">
      <x:alignment vertical="center"/>
    </x:xf>
    <x:xf numFmtId="202" fontId="15" fillId="11" borderId="0" xfId="0" applyNumberFormat="1" applyFont="1" applyFill="1" applyBorder="1" applyAlignment="1">
      <x:alignment horizontal="center" vertical="center"/>
    </x:xf>
    <x:xf numFmtId="167" fontId="15" fillId="0" borderId="0" xfId="0" applyNumberFormat="1" applyFont="1" applyFill="1" applyBorder="1" applyAlignment="1">
      <x:alignment vertical="center"/>
    </x:xf>
    <x:xf numFmtId="167" fontId="0" fillId="0" borderId="0" xfId="0" applyNumberFormat="1" applyFont="1" applyFill="1" applyBorder="1"/>
    <x:xf numFmtId="201" fontId="14" fillId="7" borderId="1" xfId="0" applyNumberFormat="1" applyFont="1" applyFill="1" applyBorder="1" applyAlignment="1">
      <x:alignment horizontal="center" vertical="center"/>
    </x:xf>
    <x:xf numFmtId="201" fontId="14" fillId="4" borderId="1" xfId="0" applyNumberFormat="1" applyFont="1" applyFill="1" applyBorder="1" applyAlignment="1">
      <x:alignment horizontal="center" vertical="center"/>
    </x:xf>
    <x:xf numFmtId="203" fontId="14" fillId="5" borderId="2" xfId="0" applyNumberFormat="1" applyFont="1" applyFill="1" applyBorder="1" applyAlignment="1">
      <x:alignment horizontal="left" vertical="center"/>
    </x:xf>
    <x:xf numFmtId="201" fontId="10" fillId="6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4" fillId="5" borderId="2" xfId="0" applyNumberFormat="1" applyFont="1" applyFill="1" applyBorder="1" applyAlignment="1">
      <x:alignment horizontal="left" vertical="center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5" fillId="2" borderId="5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left" vertical="center"/>
    </x:xf>
    <x:xf numFmtId="0" fontId="11" fillId="7" borderId="1" xfId="0" applyNumberFormat="1" applyFont="1" applyFill="1" applyBorder="1" applyAlignment="1">
      <x:alignment horizontal="left" vertic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left" vertical="center"/>
    </x:xf>
    <x:xf numFmtId="0" fontId="11" fillId="4" borderId="1" xfId="0" applyNumberFormat="1" applyFont="1" applyFill="1" applyBorder="1" applyAlignment="1">
      <x:alignment horizontal="left" vertical="center"/>
    </x:xf>
    <x:xf numFmtId="0" fontId="11" fillId="4" borderId="1" xfId="0" applyNumberFormat="1" applyFont="1" applyFill="1" applyBorder="1" applyAlignment="1">
      <x:alignment horizontal="center" vertical="center"/>
    </x:xf>
    <x:xf numFmtId="0" fontId="12" fillId="3" borderId="6" xfId="0" applyNumberFormat="1" applyFont="1" applyFill="1" applyBorder="1" applyAlignment="1">
      <x:alignment horizontal="left" vertical="center" wrapText="1"/>
    </x:xf>
    <x:xf numFmtId="0" fontId="12" fillId="3" borderId="7" xfId="0" applyNumberFormat="1" applyFont="1" applyFill="1" applyBorder="1" applyAlignment="1">
      <x:alignment horizontal="left" vertical="center" wrapText="1"/>
    </x:xf>
    <x:xf numFmtId="0" fontId="12" fillId="3" borderId="8" xfId="0" applyNumberFormat="1" applyFont="1" applyFill="1" applyBorder="1" applyAlignment="1">
      <x:alignment horizontal="left" vertical="center" wrapText="1"/>
    </x:xf>
    <x:xf numFmtId="0" fontId="12" fillId="3" borderId="9" xfId="0" applyNumberFormat="1" applyFont="1" applyFill="1" applyBorder="1" applyAlignment="1">
      <x:alignment horizontal="left" vertical="center" wrapText="1"/>
    </x:xf>
    <x:xf numFmtId="0" fontId="12" fillId="3" borderId="10" xfId="0" applyNumberFormat="1" applyFont="1" applyFill="1" applyBorder="1" applyAlignment="1">
      <x:alignment horizontal="left" vertical="center" wrapText="1"/>
    </x:xf>
    <x:xf numFmtId="0" fontId="12" fillId="3" borderId="11" xfId="0" applyNumberFormat="1" applyFont="1" applyFill="1" applyBorder="1" applyAlignment="1">
      <x:alignment horizontal="left" vertical="center" wrapText="1"/>
    </x:xf>
    <x:xf numFmtId="0" fontId="3" fillId="7" borderId="1" xfId="0" applyNumberFormat="1" applyFont="1" applyFill="1" applyBorder="1" applyAlignment="1">
      <x:alignment horizontal="left" vertical="center"/>
    </x:xf>
    <x:xf numFmtId="0" fontId="19" fillId="7" borderId="1" xfId="0" applyNumberFormat="1" applyFont="1" applyFill="1" applyBorder="1" applyAlignment="1">
      <x:alignment horizontal="left" vertical="center"/>
    </x:xf>
    <x:xf numFmtId="0" fontId="19" fillId="7" borderId="1" xfId="0" applyNumberFormat="1" applyFont="1" applyFill="1" applyBorder="1" applyAlignment="1">
      <x:alignment horizontal="center" vertical="center"/>
    </x:xf>
    <x:xf numFmtId="201" fontId="20" fillId="7" borderId="1" xfId="0" applyNumberFormat="1" applyFont="1" applyFill="1" applyBorder="1" applyAlignment="1">
      <x:alignment horizontal="center" vertical="center"/>
    </x:xf>
    <x:xf numFmtId="165" fontId="19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19" fillId="4" borderId="1" xfId="0" applyNumberFormat="1" applyFont="1" applyFill="1" applyBorder="1" applyAlignment="1">
      <x:alignment horizontal="left" vertical="center"/>
    </x:xf>
    <x:xf numFmtId="0" fontId="19" fillId="4" borderId="1" xfId="0" applyNumberFormat="1" applyFont="1" applyFill="1" applyBorder="1" applyAlignment="1">
      <x:alignment horizontal="center" vertical="center"/>
    </x:xf>
    <x:xf numFmtId="201" fontId="20" fillId="4" borderId="1" xfId="0" applyNumberFormat="1" applyFont="1" applyFill="1" applyBorder="1" applyAlignment="1">
      <x:alignment horizontal="center" vertical="center"/>
    </x:xf>
    <x:xf numFmtId="0" fontId="19" fillId="7" borderId="1" xfId="0" applyNumberFormat="1" applyFont="1" applyFill="1" applyBorder="1" applyAlignment="1">
      <x:alignment horizontal="left" vertical="center" wrapText="1"/>
    </x:xf>
    <x:xf numFmtId="0" fontId="19" fillId="7" borderId="1" xfId="0" applyNumberFormat="1" applyFont="1" applyFill="1" applyBorder="1" applyAlignment="1">
      <x:alignment horizontal="center" vertical="center" wrapText="1"/>
    </x:xf>
    <x:xf numFmtId="0" fontId="19" fillId="4" borderId="1" xfId="0" applyNumberFormat="1" applyFont="1" applyFill="1" applyBorder="1" applyAlignment="1">
      <x:alignment horizontal="left" vertical="center" wrapText="1"/>
    </x:xf>
    <x:xf numFmtId="0" fontId="19" fillId="4" borderId="1" xfId="0" applyNumberFormat="1" applyFont="1" applyFill="1" applyBorder="1" applyAlignment="1">
      <x:alignment horizontal="center" vertical="center" wrapText="1"/>
    </x:xf>
    <x:xf numFmtId="0" fontId="15" fillId="12" borderId="0" xfId="0" applyNumberFormat="1" applyFont="1" applyFill="1" applyBorder="1" applyAlignment="1">
      <x:alignment vertical="center"/>
    </x:xf>
    <x:xf numFmtId="0" fontId="17" fillId="12" borderId="0" xfId="0" applyNumberFormat="1" applyFont="1" applyFill="1" applyBorder="1" applyAlignment="1">
      <x:alignment vertical="center"/>
    </x:xf>
    <x:xf numFmtId="204" fontId="15" fillId="0" borderId="0" xfId="0" applyNumberFormat="1" applyFont="1" applyFill="1" applyBorder="1" applyAlignment="1">
      <x:alignment vertical="center"/>
    </x:xf>
    <x:xf numFmtId="0" fontId="15" fillId="13" borderId="0" xfId="0" applyNumberFormat="1" applyFont="1" applyFill="1" applyBorder="1" applyAlignment="1">
      <x:alignment vertical="center"/>
    </x:xf>
    <x:xf numFmtId="204" fontId="15" fillId="13" borderId="0" xfId="0" applyNumberFormat="1" applyFont="1" applyFill="1" applyBorder="1" applyAlignment="1">
      <x:alignment vertical="center"/>
    </x:xf>
    <x:xf numFmtId="0" fontId="15" fillId="14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9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vertical="center"/>
    </x:xf>
    <x:xf numFmtId="204" fontId="15" fillId="4" borderId="0" xfId="0" applyNumberFormat="1" applyFont="1" applyFill="1" applyBorder="1" applyAlignment="1">
      <x:alignment vertical="center"/>
    </x:xf>
    <x:xf numFmtId="0" fontId="21" fillId="15" borderId="0" xfId="0" applyNumberFormat="1" applyFont="1" applyFill="1" applyBorder="1" applyAlignment="1">
      <x:alignment vertical="center"/>
    </x:xf>
    <x:xf numFmtId="0" fontId="15" fillId="15" borderId="0" xfId="0" applyNumberFormat="1" applyFont="1" applyFill="1" applyBorder="1" applyAlignment="1">
      <x:alignment vertical="center"/>
    </x:xf>
    <x:xf numFmtId="0" fontId="22" fillId="15" borderId="0" xfId="0" applyNumberFormat="1" applyFont="1" applyFill="1" applyBorder="1" applyAlignment="1">
      <x:alignment vertical="center"/>
    </x:xf>
    <x:xf numFmtId="0" fontId="15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/>
    </x:xf>
    <x:xf numFmtId="0" fontId="23" fillId="16" borderId="0" xfId="0" applyNumberFormat="1" applyFont="1" applyFill="1" applyBorder="1" applyAlignment="1">
      <x:alignment vertical="center" wrapText="1"/>
    </x:xf>
    <x:xf numFmtId="0" fontId="23" fillId="16" borderId="0" xfId="0" applyNumberFormat="1" applyFont="1" applyFill="1" applyBorder="1" applyAlignment="1">
      <x:alignment vertical="center"/>
    </x:xf>
    <x:xf numFmtId="0" fontId="23" fillId="16" borderId="14" xfId="0" applyNumberFormat="1" applyFont="1" applyFill="1" applyBorder="1" applyAlignment="1">
      <x:alignment vertical="center" wrapText="1"/>
    </x:xf>
    <x:xf numFmtId="0" fontId="23" fillId="16" borderId="15" xfId="0" applyNumberFormat="1" applyFont="1" applyFill="1" applyBorder="1" applyAlignment="1">
      <x:alignment vertical="center" wrapText="1"/>
    </x:xf>
    <x:xf numFmtId="0" fontId="23" fillId="16" borderId="16" xfId="0" applyNumberFormat="1" applyFont="1" applyFill="1" applyBorder="1" applyAlignment="1">
      <x:alignment vertical="center" wrapText="1"/>
    </x:xf>
    <x:xf numFmtId="0" fontId="23" fillId="16" borderId="17" xfId="0" applyNumberFormat="1" applyFont="1" applyFill="1" applyBorder="1" applyAlignment="1">
      <x:alignment vertical="center"/>
    </x:xf>
    <x:xf numFmtId="0" fontId="23" fillId="16" borderId="18" xfId="0" applyNumberFormat="1" applyFont="1" applyFill="1" applyBorder="1" applyAlignment="1">
      <x:alignment vertical="center"/>
    </x:xf>
    <x:xf numFmtId="0" fontId="23" fillId="16" borderId="19" xfId="0" applyNumberFormat="1" applyFont="1" applyFill="1" applyBorder="1" applyAlignment="1">
      <x:alignment vertical="center"/>
    </x:xf>
    <x:xf numFmtId="0" fontId="23" fillId="16" borderId="17" xfId="0" applyNumberFormat="1" applyFont="1" applyFill="1" applyBorder="1" applyAlignment="1">
      <x:alignment vertical="center" wrapText="1"/>
    </x:xf>
    <x:xf numFmtId="0" fontId="23" fillId="16" borderId="18" xfId="0" applyNumberFormat="1" applyFont="1" applyFill="1" applyBorder="1" applyAlignment="1">
      <x:alignment vertical="center" wrapText="1"/>
    </x:xf>
    <x:xf numFmtId="0" fontId="23" fillId="16" borderId="19" xfId="0" applyNumberFormat="1" applyFont="1" applyFill="1" applyBorder="1" applyAlignment="1">
      <x:alignment vertical="center" wrapText="1"/>
    </x:xf>
    <x:xf numFmtId="0" fontId="21" fillId="17" borderId="0" xfId="0" applyNumberFormat="1" applyFont="1" applyFill="1" applyBorder="1" applyAlignment="1">
      <x:alignment vertical="center"/>
    </x:xf>
    <x:xf numFmtId="0" fontId="17" fillId="17" borderId="0" xfId="0" applyNumberFormat="1" applyFont="1" applyFill="1" applyBorder="1" applyAlignment="1">
      <x:alignment vertical="center"/>
    </x:xf>
    <x:xf numFmtId="0" fontId="17" fillId="17" borderId="0" xfId="0" applyNumberFormat="1" applyFont="1" applyFill="1" applyBorder="1" applyAlignment="1">
      <x:alignment horizontal="center" vertical="center"/>
    </x:xf>
    <x:xf numFmtId="0" fontId="15" fillId="4" borderId="0" xfId="0" applyNumberFormat="1" applyFont="1" applyFill="1" applyBorder="1" applyAlignment="1">
      <x:alignment horizontal="left" vertical="center"/>
    </x:xf>
    <x:xf numFmtId="204" fontId="15" fillId="4" borderId="0" xfId="0" applyNumberFormat="1" applyFont="1" applyFill="1" applyBorder="1" applyAlignment="1">
      <x:alignment horizontal="center" vertic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5" fillId="15" borderId="0" xfId="0" applyNumberFormat="1" applyFont="1" applyFill="1" applyBorder="1" applyAlignment="1">
      <x:alignment horizontal="left" vertical="center"/>
    </x:xf>
    <x:xf numFmtId="204" fontId="15" fillId="15" borderId="0" xfId="0" applyNumberFormat="1" applyFont="1" applyFill="1" applyBorder="1" applyAlignment="1">
      <x:alignment horizontal="center" vertical="center"/>
    </x:xf>
    <x:xf numFmtId="0" fontId="15" fillId="1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7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854D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color rgb="FF7862DC"/>
      </x:font>
      <x:fill>
        <x:patternFill>
          <x:bgColor rgb="FF7862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e76ca57bc44fd" /><Relationship Type="http://schemas.openxmlformats.org/officeDocument/2006/relationships/theme" Target="/xl/theme/theme1.xml" Id="Ra7542c24f5694467" /><Relationship Type="http://schemas.openxmlformats.org/officeDocument/2006/relationships/sharedStrings" Target="/xl/sharedStrings.xml" Id="Rb1ed82d6950f43b1" /><Relationship Type="http://schemas.openxmlformats.org/officeDocument/2006/relationships/worksheet" Target="/xl/worksheets/sheet1.xml" Id="Rad9360aef01f4a21" /><Relationship Type="http://schemas.openxmlformats.org/officeDocument/2006/relationships/worksheet" Target="/xl/worksheets/sheet2.xml" Id="R3c26562779d144fe" /><Relationship Type="http://schemas.openxmlformats.org/officeDocument/2006/relationships/worksheet" Target="/xl/worksheets/sheet3.xml" Id="R26e60e2a2fd74c31" /><Relationship Type="http://schemas.openxmlformats.org/officeDocument/2006/relationships/worksheet" Target="/xl/worksheets/sheet4.xml" Id="R194eb13ea60b41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0" style="14" hidden="0" customWidth="1"/>
    <x:col min="4" max="4" width="12" style="14" hidden="0" customWidth="1"/>
    <x:col min="5" max="5" width="12" style="14" hidden="0" customWidth="1"/>
    <x:col min="6" max="6" width="12" style="14" hidden="0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  <x:col min="7" max="7" width="14" hidden="0" customWidth="1"/>
    <x:col min="8" max="8" width="14" hidden="0" customWidth="1"/>
  </x:cols>
  <x:sheetData>
    <x:row r="2" ht="32" customHeight="1">
      <x:c r="B2" s="72" t="str">
        <x:v>締切レスキュー / 20週間の見通し（入力は「課題入力」タブへ）</x:v>
      </x:c>
      <x:c r="C2" s="72" t="s">
        <x:v>0</x:v>
      </x:c>
      <x:c r="D2" s="72" t="s">
        <x:v>0</x:v>
      </x:c>
      <x:c r="E2" s="72" t="s">
        <x:v>0</x:v>
      </x:c>
      <x:c r="F2" s="72" t="s">
        <x:v>0</x:v>
      </x:c>
      <x:c r="G2" s="72" t="s">
        <x:v>0</x:v>
      </x:c>
      <x:c r="H2" s="72" t="s">
        <x:v>0</x:v>
      </x:c>
      <x:c r="I2" s="72" t="s">
        <x:v>0</x:v>
      </x:c>
      <x:c r="J2" s="72" t="s">
        <x:v>0</x:v>
      </x:c>
      <x:c r="K2" s="72" t="s">
        <x:v>0</x:v>
      </x:c>
      <x:c r="L2" s="72" t="s">
        <x:v>0</x:v>
      </x:c>
      <x:c r="M2" s="72" t="s">
        <x:v>0</x:v>
      </x:c>
      <x:c r="N2" s="72" t="s">
        <x:v>0</x:v>
      </x:c>
      <x:c r="O2" s="72" t="s">
        <x:v>0</x:v>
      </x:c>
      <x:c r="P2" s="72" t="s">
        <x:v>0</x:v>
      </x:c>
      <x:c r="Q2" s="72" t="s">
        <x:v>0</x:v>
      </x:c>
      <x:c r="R2" s="72" t="s">
        <x:v>0</x:v>
      </x:c>
      <x:c r="S2" s="73" t="s">
        <x:v>1</x:v>
      </x:c>
      <x:c r="T2" s="73" t="s">
        <x:v>1</x:v>
      </x:c>
      <x:c r="U2" s="73" t="s">
        <x:v>1</x:v>
      </x:c>
      <x:c r="V2" s="73" t="s">
        <x:v>1</x:v>
      </x:c>
      <x:c r="W2" s="73" t="s">
        <x:v>1</x:v>
      </x:c>
      <x:c r="X2" s="73" t="s">
        <x:v>1</x:v>
      </x:c>
      <x:c r="Y2" s="73" t="s">
        <x:v>1</x:v>
      </x:c>
      <x:c r="Z2" s="73" t="s">
        <x:v>1</x:v>
      </x:c>
      <x:c r="AA2" s="73" t="s">
        <x:v>1</x:v>
      </x:c>
      <x:c r="AB2" s="73" t="s">
        <x:v>1</x:v>
      </x:c>
      <x:c r="AC2" s="73" t="s">
        <x:v>1</x:v>
      </x:c>
      <x:c r="AD2" s="73" t="s">
        <x:v>1</x:v>
      </x:c>
    </x:row>
    <x:row r="3"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  <x:c r="AB3" s="74"/>
      <x:c r="AC3" s="74"/>
      <x:c r="AD3" s="74"/>
    </x:row>
    <x:row r="4" ht="22" customHeight="1">
      <x:c r="B4" s="75" t="str">
        <x:v>今学期の計画</x:v>
      </x:c>
      <x:c r="C4" s="75" t="s">
        <x:v>2</x:v>
      </x:c>
      <x:c r="D4" s="75" t="s">
        <x:v>2</x:v>
      </x:c>
      <x:c r="E4" s="75" t="s">
        <x:v>2</x:v>
      </x:c>
      <x:c r="F4" s="75" t="s">
        <x:v>2</x:v>
      </x:c>
      <x:c r="G4" s="75" t="s">
        <x:v>2</x:v>
      </x:c>
      <x:c r="H4" s="75" t="s">
        <x:v>2</x:v>
      </x:c>
      <x:c r="I4" s="75" t="s">
        <x:v>2</x:v>
      </x:c>
      <x:c r="J4" s="74"/>
      <x:c r="K4" s="75" t="str">
        <x:v>全200件の状況</x:v>
      </x:c>
      <x:c r="L4" s="75" t="s">
        <x:v>3</x:v>
      </x:c>
      <x:c r="M4" s="75" t="s">
        <x:v>3</x:v>
      </x:c>
      <x:c r="N4" s="75" t="s">
        <x:v>3</x:v>
      </x:c>
      <x:c r="O4" s="75" t="s">
        <x:v>3</x:v>
      </x:c>
      <x:c r="P4" s="75" t="s">
        <x:v>3</x:v>
      </x:c>
      <x:c r="Q4" s="75" t="s">
        <x:v>3</x:v>
      </x:c>
      <x:c r="R4" s="75" t="s">
        <x:v>3</x:v>
      </x:c>
      <x:c r="S4" s="75" t="s">
        <x:v>3</x:v>
      </x:c>
      <x:c r="T4" s="75" t="s">
        <x:v>3</x:v>
      </x:c>
      <x:c r="U4" s="75" t="s">
        <x:v>3</x:v>
      </x:c>
      <x:c r="V4" s="75" t="s">
        <x:v>3</x:v>
      </x:c>
      <x:c r="W4" s="75" t="s">
        <x:v>3</x:v>
      </x:c>
      <x:c r="X4" s="75" t="s">
        <x:v>3</x:v>
      </x:c>
      <x:c r="Y4" s="75" t="s">
        <x:v>3</x:v>
      </x:c>
      <x:c r="Z4" s="75" t="s">
        <x:v>3</x:v>
      </x:c>
      <x:c r="AA4" s="75" t="s">
        <x:v>3</x:v>
      </x:c>
      <x:c r="AB4" s="75" t="s">
        <x:v>3</x:v>
      </x:c>
      <x:c r="AC4" s="75" t="s">
        <x:v>3</x:v>
      </x:c>
      <x:c r="AD4" s="75" t="s">
        <x:v>3</x:v>
      </x:c>
    </x:row>
    <x:row r="5" ht="22" customHeight="1">
      <x:c r="B5" s="76" t="str">
        <x:v>学期名</x:v>
      </x:c>
      <x:c r="C5" s="77" t="str">
        <x:v>自分の学期</x:v>
      </x:c>
      <x:c r="D5" s="77" t="s">
        <x:v>4</x:v>
      </x:c>
      <x:c r="E5" s="77" t="s">
        <x:v>4</x:v>
      </x:c>
      <x:c r="F5" s="78" t="str">
        <x:v>作成</x:v>
      </x:c>
      <x:c r="G5" s="79"/>
      <x:c r="H5" s="77" t="str">
        <x:v>RYUTTER</x:v>
      </x:c>
      <x:c r="I5" s="77" t="s">
        <x:v>5</x:v>
      </x:c>
      <x:c r="J5" s="74"/>
      <x:c r="K5" s="80" t="str">
        <x:v>登録済み</x:v>
      </x:c>
      <x:c r="L5" s="81" t="s">
        <x:v>6</x:v>
      </x:c>
      <x:c r="M5" s="81" t="s">
        <x:v>6</x:v>
      </x:c>
      <x:c r="N5" s="82" t="s">
        <x:v>6</x:v>
      </x:c>
      <x:c r="O5" s="80" t="str">
        <x:v>完了</x:v>
      </x:c>
      <x:c r="P5" s="81" t="s">
        <x:v>7</x:v>
      </x:c>
      <x:c r="Q5" s="81" t="s">
        <x:v>7</x:v>
      </x:c>
      <x:c r="R5" s="82" t="s">
        <x:v>7</x:v>
      </x:c>
      <x:c r="S5" s="80" t="str">
        <x:v>未完了</x:v>
      </x:c>
      <x:c r="T5" s="81" t="s">
        <x:v>8</x:v>
      </x:c>
      <x:c r="U5" s="81" t="s">
        <x:v>8</x:v>
      </x:c>
      <x:c r="V5" s="82" t="s">
        <x:v>8</x:v>
      </x:c>
      <x:c r="W5" s="80" t="str">
        <x:v>期限超過</x:v>
      </x:c>
      <x:c r="X5" s="81" t="s">
        <x:v>9</x:v>
      </x:c>
      <x:c r="Y5" s="81" t="s">
        <x:v>9</x:v>
      </x:c>
      <x:c r="Z5" s="82" t="s">
        <x:v>9</x:v>
      </x:c>
      <x:c r="AA5" s="80" t="str">
        <x:v>入力確認</x:v>
      </x:c>
      <x:c r="AB5" s="81" t="s">
        <x:v>10</x:v>
      </x:c>
      <x:c r="AC5" s="81" t="s">
        <x:v>10</x:v>
      </x:c>
      <x:c r="AD5" s="82" t="s">
        <x:v>10</x:v>
      </x:c>
    </x:row>
    <x:row r="6" ht="22" customHeight="1">
      <x:c r="B6" s="76" t="str">
        <x:v>使い方</x:v>
      </x:c>
      <x:c r="C6" s="77" t="str">
        <x:v>「今日の3件」から始める</x:v>
      </x:c>
      <x:c r="D6" s="77" t="s">
        <x:v>11</x:v>
      </x:c>
      <x:c r="E6" s="77" t="s">
        <x:v>11</x:v>
      </x:c>
      <x:c r="F6" s="78" t="str">
        <x:v>表示開始</x:v>
      </x:c>
      <x:c r="G6" s="79"/>
      <x:c r="H6" s="70" t="n">
        <x:f>'今日の3件'!C5-WEEKDAY('今日の3件'!C5,2)+1</x:f>
        <x:v>46265</x:v>
      </x:c>
      <x:c r="I6" s="70">
        <x:v>46209</x:v>
      </x:c>
      <x:c r="J6" s="74"/>
      <x:c r="K6" s="42" t="n">
        <x:f>SUM('課題入力'!L6:L205)</x:f>
        <x:v>3</x:v>
      </x:c>
      <x:c r="L6" s="43"/>
      <x:c r="M6" s="43"/>
      <x:c r="N6" s="44"/>
      <x:c r="O6" s="45" t="n">
        <x:f>SUM('課題入力'!K6:K205)</x:f>
        <x:v>0</x:v>
      </x:c>
      <x:c r="P6" s="46"/>
      <x:c r="Q6" s="46"/>
      <x:c r="R6" s="47"/>
      <x:c r="S6" s="35" t="n">
        <x:f>K6-O6</x:f>
        <x:v>3</x:v>
      </x:c>
      <x:c r="T6" s="36"/>
      <x:c r="U6" s="36"/>
      <x:c r="V6" s="37"/>
      <x:c r="W6" s="38" t="n">
        <x:f>SUM('課題入力'!M6:M205)</x:f>
        <x:v>0</x:v>
      </x:c>
      <x:c r="X6" s="39"/>
      <x:c r="Y6" s="39"/>
      <x:c r="Z6" s="40"/>
      <x:c r="AA6" s="38" t="n">
        <x:f>SUM('課題入力'!J6:J205)</x:f>
        <x:v>0</x:v>
      </x:c>
      <x:c r="AB6" s="39"/>
      <x:c r="AC6" s="39"/>
      <x:c r="AD6" s="40"/>
    </x:row>
    <x:row r="7"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  <x:c r="W7" s="74"/>
      <x:c r="X7" s="74"/>
      <x:c r="Y7" s="74"/>
      <x:c r="Z7" s="74"/>
      <x:c r="AA7" s="74"/>
      <x:c r="AB7" s="74"/>
      <x:c r="AC7" s="74"/>
      <x:c r="AD7" s="74"/>
    </x:row>
    <x:row r="8" ht="22" customHeight="1">
      <x:c r="B8" s="75" t="str">
        <x:v>締切順の未完了21件（自動表示・直接編集しない）</x:v>
      </x:c>
      <x:c r="C8" s="75" t="s">
        <x:v>12</x:v>
      </x:c>
      <x:c r="D8" s="75" t="s">
        <x:v>12</x:v>
      </x:c>
      <x:c r="E8" s="75" t="s">
        <x:v>12</x:v>
      </x:c>
      <x:c r="F8" s="75" t="s">
        <x:v>12</x:v>
      </x:c>
      <x:c r="G8" s="75" t="s">
        <x:v>12</x:v>
      </x:c>
      <x:c r="H8" s="75" t="s">
        <x:v>12</x:v>
      </x:c>
      <x:c r="I8" s="75" t="s">
        <x:v>12</x:v>
      </x:c>
      <x:c r="J8" s="74"/>
      <x:c r="K8" s="75" t="str">
        <x:v>今週から締切週まで / 20週間</x:v>
      </x:c>
      <x:c r="L8" s="75" t="s">
        <x:v>13</x:v>
      </x:c>
      <x:c r="M8" s="75" t="s">
        <x:v>13</x:v>
      </x:c>
      <x:c r="N8" s="75" t="s">
        <x:v>13</x:v>
      </x:c>
      <x:c r="O8" s="75" t="s">
        <x:v>13</x:v>
      </x:c>
      <x:c r="P8" s="75" t="s">
        <x:v>13</x:v>
      </x:c>
      <x:c r="Q8" s="75" t="s">
        <x:v>13</x:v>
      </x:c>
      <x:c r="R8" s="75" t="s">
        <x:v>13</x:v>
      </x:c>
      <x:c r="S8" s="75" t="s">
        <x:v>13</x:v>
      </x:c>
      <x:c r="T8" s="75" t="s">
        <x:v>13</x:v>
      </x:c>
      <x:c r="U8" s="75" t="s">
        <x:v>13</x:v>
      </x:c>
      <x:c r="V8" s="75" t="s">
        <x:v>13</x:v>
      </x:c>
      <x:c r="W8" s="75" t="s">
        <x:v>13</x:v>
      </x:c>
      <x:c r="X8" s="75" t="s">
        <x:v>13</x:v>
      </x:c>
      <x:c r="Y8" s="75" t="s">
        <x:v>13</x:v>
      </x:c>
      <x:c r="Z8" s="75" t="s">
        <x:v>13</x:v>
      </x:c>
      <x:c r="AA8" s="75" t="s">
        <x:v>13</x:v>
      </x:c>
      <x:c r="AB8" s="75" t="s">
        <x:v>13</x:v>
      </x:c>
      <x:c r="AC8" s="75" t="s">
        <x:v>13</x:v>
      </x:c>
      <x:c r="AD8" s="75" t="s">
        <x:v>13</x:v>
      </x:c>
    </x:row>
    <x:row r="9" ht="28" customHeight="1">
      <x:c r="B9" s="83" t="str">
        <x:v>順番</x:v>
      </x:c>
      <x:c r="C9" s="83" t="str">
        <x:v>課題</x:v>
      </x:c>
      <x:c r="D9" s="83" t="str">
        <x:v>残り・分</x:v>
      </x:c>
      <x:c r="E9" s="83" t="str">
        <x:v>状態</x:v>
      </x:c>
      <x:c r="F9" s="83" t="str">
        <x:v>目安</x:v>
      </x:c>
      <x:c r="G9" s="83" t="str">
        <x:v>表示開始</x:v>
      </x:c>
      <x:c r="H9" s="83" t="str">
        <x:v>締切</x:v>
      </x:c>
      <x:c r="I9" s="83" t="str">
        <x:v>残り日数</x:v>
      </x:c>
      <x:c r="J9" s="74"/>
      <x:c r="K9" s="71" t="n">
        <x:f>$H$6+0</x:f>
        <x:v>46265</x:v>
      </x:c>
      <x:c r="L9" s="71" t="n">
        <x:f t="shared" ref="L9:AD9" si="0">$H$6+7</x:f>
        <x:v>46272</x:v>
      </x:c>
      <x:c r="M9" s="71" t="n">
        <x:f t="shared" si="0">$H$6+14</x:f>
        <x:v>46279</x:v>
      </x:c>
      <x:c r="N9" s="71" t="n">
        <x:f t="shared" si="0">$H$6+21</x:f>
        <x:v>46286</x:v>
      </x:c>
      <x:c r="O9" s="71" t="n">
        <x:f t="shared" si="0">$H$6+28</x:f>
        <x:v>46293</x:v>
      </x:c>
      <x:c r="P9" s="71" t="n">
        <x:f t="shared" si="0">$H$6+35</x:f>
        <x:v>46300</x:v>
      </x:c>
      <x:c r="Q9" s="71" t="n">
        <x:f t="shared" si="0">$H$6+42</x:f>
        <x:v>46307</x:v>
      </x:c>
      <x:c r="R9" s="71" t="n">
        <x:f t="shared" si="0">$H$6+49</x:f>
        <x:v>46314</x:v>
      </x:c>
      <x:c r="S9" s="71" t="n">
        <x:f t="shared" si="0">$H$6+56</x:f>
        <x:v>46321</x:v>
      </x:c>
      <x:c r="T9" s="71" t="n">
        <x:f t="shared" si="0">$H$6+63</x:f>
        <x:v>46328</x:v>
      </x:c>
      <x:c r="U9" s="71" t="n">
        <x:f t="shared" si="0">$H$6+70</x:f>
        <x:v>46335</x:v>
      </x:c>
      <x:c r="V9" s="71" t="n">
        <x:f t="shared" si="0">$H$6+77</x:f>
        <x:v>46342</x:v>
      </x:c>
      <x:c r="W9" s="71" t="n">
        <x:f t="shared" si="0">$H$6+84</x:f>
        <x:v>46349</x:v>
      </x:c>
      <x:c r="X9" s="71" t="n">
        <x:f t="shared" si="0">$H$6+91</x:f>
        <x:v>46356</x:v>
      </x:c>
      <x:c r="Y9" s="71" t="n">
        <x:f t="shared" si="0">$H$6+98</x:f>
        <x:v>46363</x:v>
      </x:c>
      <x:c r="Z9" s="71" t="n">
        <x:f t="shared" si="0">$H$6+105</x:f>
        <x:v>46370</x:v>
      </x:c>
      <x:c r="AA9" s="71" t="n">
        <x:f t="shared" si="0">$H$6+112</x:f>
        <x:v>46377</x:v>
      </x:c>
      <x:c r="AB9" s="71" t="n">
        <x:f t="shared" si="0">$H$6+119</x:f>
        <x:v>46384</x:v>
      </x:c>
      <x:c r="AC9" s="71" t="n">
        <x:f t="shared" si="0">$H$6+126</x:f>
        <x:v>46391</x:v>
      </x:c>
      <x:c r="AD9" s="71" t="n">
        <x:f t="shared" si="0">$H$6+133</x:f>
        <x:v>46398</x:v>
      </x:c>
    </x:row>
    <x:row r="10" ht="26" customHeight="1">
      <x:c r="B10" s="96" t="n">
        <x:f>IF(C10="","",1)</x:f>
        <x:v>1</x:v>
      </x:c>
      <x:c r="C10" s="105" t="str">
        <x:f>IF(SUM('課題入力'!$H$6:$H$205)&lt;1,"",INDEX('課題入力'!$A$6:$A$205,MATCH(SMALL('課題入力'!$G$6:$G$205,1),'課題入力'!$G$6:$G$205,0)))</x:f>
        <x:v>見本：英語レポート</x:v>
      </x:c>
      <x:c r="D10" s="106" t="n">
        <x:f>IF(SUM('課題入力'!$H$6:$H$205)&lt;1,"",INDEX('課題入力'!$C$6:$C$205,MATCH(SMALL('課題入力'!$G$6:$G$205,1),'課題入力'!$G$6:$G$205,0)))</x:f>
        <x:v>60</x:v>
      </x:c>
      <x:c r="E10" s="106" t="str">
        <x:f>IF(SUM('課題入力'!$H$6:$H$205)&lt;1,"",INDEX('課題入力'!$E$6:$E$205,MATCH(SMALL('課題入力'!$G$6:$G$205,1),'課題入力'!$G$6:$G$205,0)))</x:f>
        <x:v>3日以内</x:v>
      </x:c>
      <x:c r="F10" s="106" t="str">
        <x:f>IF(C10="","",IF(H10&lt;'今日の3件'!$C$5,"相談","取り組む"))</x:f>
        <x:v>取り組む</x:v>
      </x:c>
      <x:c r="G10" s="99" t="n">
        <x:f>IF(C10="","",$H$6)</x:f>
        <x:v>46265</x:v>
      </x:c>
      <x:c r="H10" s="99" t="n">
        <x:f>IF(SUM('課題入力'!$H$6:$H$205)&lt;1,"",INDEX('課題入力'!$B$6:$B$205,MATCH(SMALL('課題入力'!$G$6:$G$205,1),'課題入力'!$G$6:$G$205,0)))</x:f>
        <x:v>46272</x:v>
      </x:c>
      <x:c r="I10" s="100" t="n">
        <x:f t="shared" ref="I10:I39" si="1">IF(C10="","",H10-'今日の3件'!$C$5)</x:f>
        <x:v>1</x:v>
      </x:c>
      <x:c r="J10" s="74"/>
      <x:c r="K10" s="12" t="n">
        <x:f t="shared" ref="K10:T19" si="2">IF(C10="","",IF(AND(K$9&lt;=H10,K$9+6&gt;=G10),1,""))</x:f>
        <x:v>1</x:v>
      </x:c>
      <x:c r="L10" s="13" t="n">
        <x:f t="shared" si="2">IF(C10="","",IF(AND(L$9&lt;=H10,L$9+6&gt;=G10),1,""))</x:f>
        <x:v>1</x:v>
      </x:c>
      <x:c r="M10" s="12" t="str">
        <x:f t="shared" si="2">IF(C10="","",IF(AND(M$9&lt;=H10,M$9+6&gt;=G10),1,""))</x:f>
      </x:c>
      <x:c r="N10" s="13" t="str">
        <x:f t="shared" si="2">IF(C10="","",IF(AND(N$9&lt;=H10,N$9+6&gt;=G10),1,""))</x:f>
      </x:c>
      <x:c r="O10" s="12" t="str">
        <x:f t="shared" si="2">IF(C10="","",IF(AND(O$9&lt;=H10,O$9+6&gt;=G10),1,""))</x:f>
      </x:c>
      <x:c r="P10" s="13" t="str">
        <x:f t="shared" si="2">IF(C10="","",IF(AND(P$9&lt;=H10,P$9+6&gt;=G10),1,""))</x:f>
      </x:c>
      <x:c r="Q10" s="12" t="str">
        <x:f t="shared" si="2">IF(C10="","",IF(AND(Q$9&lt;=H10,Q$9+6&gt;=G10),1,""))</x:f>
      </x:c>
      <x:c r="R10" s="13" t="str">
        <x:f t="shared" si="2">IF(C10="","",IF(AND(R$9&lt;=H10,R$9+6&gt;=G10),1,""))</x:f>
      </x:c>
      <x:c r="S10" s="12" t="str">
        <x:f t="shared" si="2">IF(C10="","",IF(AND(S$9&lt;=H10,S$9+6&gt;=G10),1,""))</x:f>
      </x:c>
      <x:c r="T10" s="13" t="str">
        <x:f t="shared" si="2">IF(C10="","",IF(AND(T$9&lt;=H10,T$9+6&gt;=G10),1,""))</x:f>
      </x:c>
      <x:c r="U10" s="12" t="str">
        <x:f t="shared" ref="U10:AD19" si="3">IF(C10="","",IF(AND(U$9&lt;=H10,U$9+6&gt;=G10),1,""))</x:f>
      </x:c>
      <x:c r="V10" s="13" t="str">
        <x:f t="shared" si="3">IF(C10="","",IF(AND(V$9&lt;=H10,V$9+6&gt;=G10),1,""))</x:f>
      </x:c>
      <x:c r="W10" s="12" t="str">
        <x:f t="shared" si="3">IF(C10="","",IF(AND(W$9&lt;=H10,W$9+6&gt;=G10),1,""))</x:f>
      </x:c>
      <x:c r="X10" s="13" t="str">
        <x:f t="shared" si="3">IF(C10="","",IF(AND(X$9&lt;=H10,X$9+6&gt;=G10),1,""))</x:f>
      </x:c>
      <x:c r="Y10" s="12" t="str">
        <x:f t="shared" si="3">IF(C10="","",IF(AND(Y$9&lt;=H10,Y$9+6&gt;=G10),1,""))</x:f>
      </x:c>
      <x:c r="Z10" s="13" t="str">
        <x:f t="shared" si="3">IF(C10="","",IF(AND(Z$9&lt;=H10,Z$9+6&gt;=G10),1,""))</x:f>
      </x:c>
      <x:c r="AA10" s="12" t="str">
        <x:f t="shared" si="3">IF(C10="","",IF(AND(AA$9&lt;=H10,AA$9+6&gt;=G10),1,""))</x:f>
      </x:c>
      <x:c r="AB10" s="13" t="str">
        <x:f t="shared" si="3">IF(C10="","",IF(AND(AB$9&lt;=H10,AB$9+6&gt;=G10),1,""))</x:f>
      </x:c>
      <x:c r="AC10" s="12" t="str">
        <x:f t="shared" si="3">IF(C10="","",IF(AND(AC$9&lt;=H10,AC$9+6&gt;=G10),1,""))</x:f>
      </x:c>
      <x:c r="AD10" s="13" t="str">
        <x:f t="shared" si="3">IF(C10="","",IF(AND(AD$9&lt;=H10,AD$9+6&gt;=G10),1,""))</x:f>
      </x:c>
    </x:row>
    <x:row r="11" ht="26" customHeight="1">
      <x:c r="B11" s="101" t="n">
        <x:f>IF(C11="","",2)</x:f>
        <x:v>2</x:v>
      </x:c>
      <x:c r="C11" s="107" t="str">
        <x:f>IF(SUM('課題入力'!$H$6:$H$205)&lt;2,"",INDEX('課題入力'!$A$6:$A$205,MATCH(SMALL('課題入力'!$G$6:$G$205,2),'課題入力'!$G$6:$G$205,0)))</x:f>
        <x:v>見本：統計の演習</x:v>
      </x:c>
      <x:c r="D11" s="108" t="n">
        <x:f>IF(SUM('課題入力'!$H$6:$H$205)&lt;2,"",INDEX('課題入力'!$C$6:$C$205,MATCH(SMALL('課題入力'!$G$6:$G$205,2),'課題入力'!$G$6:$G$205,0)))</x:f>
        <x:v>30</x:v>
      </x:c>
      <x:c r="E11" s="108" t="str">
        <x:f>IF(SUM('課題入力'!$H$6:$H$205)&lt;2,"",INDEX('課題入力'!$E$6:$E$205,MATCH(SMALL('課題入力'!$G$6:$G$205,2),'課題入力'!$G$6:$G$205,0)))</x:f>
        <x:v>3日以内</x:v>
      </x:c>
      <x:c r="F11" s="108" t="str">
        <x:f>IF(C11="","",IF(H11&lt;'今日の3件'!$C$5,"相談","取り組む"))</x:f>
        <x:v>取り組む</x:v>
      </x:c>
      <x:c r="G11" s="104" t="n">
        <x:f>IF(C11="","",$H$6)</x:f>
        <x:v>46265</x:v>
      </x:c>
      <x:c r="H11" s="104" t="n">
        <x:f>IF(SUM('課題入力'!$H$6:$H$205)&lt;2,"",INDEX('課題入力'!$B$6:$B$205,MATCH(SMALL('課題入力'!$G$6:$G$205,2),'課題入力'!$G$6:$G$205,0)))</x:f>
        <x:v>46274</x:v>
      </x:c>
      <x:c r="I11" s="100" t="n">
        <x:f t="shared" si="1">IF(C11="","",H11-'今日の3件'!$C$5)</x:f>
        <x:v>3</x:v>
      </x:c>
      <x:c r="J11" s="74"/>
      <x:c r="K11" s="12" t="n">
        <x:f t="shared" si="2">IF(C11="","",IF(AND(K$9&lt;=H11,K$9+6&gt;=G11),1,""))</x:f>
        <x:v>1</x:v>
      </x:c>
      <x:c r="L11" s="13" t="n">
        <x:f t="shared" si="2">IF(C11="","",IF(AND(L$9&lt;=H11,L$9+6&gt;=G11),1,""))</x:f>
        <x:v>1</x:v>
      </x:c>
      <x:c r="M11" s="12" t="str">
        <x:f t="shared" si="2">IF(C11="","",IF(AND(M$9&lt;=H11,M$9+6&gt;=G11),1,""))</x:f>
      </x:c>
      <x:c r="N11" s="13" t="str">
        <x:f t="shared" si="2">IF(C11="","",IF(AND(N$9&lt;=H11,N$9+6&gt;=G11),1,""))</x:f>
      </x:c>
      <x:c r="O11" s="12" t="str">
        <x:f t="shared" si="2">IF(C11="","",IF(AND(O$9&lt;=H11,O$9+6&gt;=G11),1,""))</x:f>
      </x:c>
      <x:c r="P11" s="13" t="str">
        <x:f t="shared" si="2">IF(C11="","",IF(AND(P$9&lt;=H11,P$9+6&gt;=G11),1,""))</x:f>
      </x:c>
      <x:c r="Q11" s="12" t="str">
        <x:f t="shared" si="2">IF(C11="","",IF(AND(Q$9&lt;=H11,Q$9+6&gt;=G11),1,""))</x:f>
      </x:c>
      <x:c r="R11" s="13" t="str">
        <x:f t="shared" si="2">IF(C11="","",IF(AND(R$9&lt;=H11,R$9+6&gt;=G11),1,""))</x:f>
      </x:c>
      <x:c r="S11" s="12" t="str">
        <x:f t="shared" si="2">IF(C11="","",IF(AND(S$9&lt;=H11,S$9+6&gt;=G11),1,""))</x:f>
      </x:c>
      <x:c r="T11" s="13" t="str">
        <x:f t="shared" si="2">IF(C11="","",IF(AND(T$9&lt;=H11,T$9+6&gt;=G11),1,""))</x:f>
      </x:c>
      <x:c r="U11" s="12" t="str">
        <x:f t="shared" si="3">IF(C11="","",IF(AND(U$9&lt;=H11,U$9+6&gt;=G11),1,""))</x:f>
      </x:c>
      <x:c r="V11" s="13" t="str">
        <x:f t="shared" si="3">IF(C11="","",IF(AND(V$9&lt;=H11,V$9+6&gt;=G11),1,""))</x:f>
      </x:c>
      <x:c r="W11" s="12" t="str">
        <x:f t="shared" si="3">IF(C11="","",IF(AND(W$9&lt;=H11,W$9+6&gt;=G11),1,""))</x:f>
      </x:c>
      <x:c r="X11" s="13" t="str">
        <x:f t="shared" si="3">IF(C11="","",IF(AND(X$9&lt;=H11,X$9+6&gt;=G11),1,""))</x:f>
      </x:c>
      <x:c r="Y11" s="12" t="str">
        <x:f t="shared" si="3">IF(C11="","",IF(AND(Y$9&lt;=H11,Y$9+6&gt;=G11),1,""))</x:f>
      </x:c>
      <x:c r="Z11" s="13" t="str">
        <x:f t="shared" si="3">IF(C11="","",IF(AND(Z$9&lt;=H11,Z$9+6&gt;=G11),1,""))</x:f>
      </x:c>
      <x:c r="AA11" s="12" t="str">
        <x:f t="shared" si="3">IF(C11="","",IF(AND(AA$9&lt;=H11,AA$9+6&gt;=G11),1,""))</x:f>
      </x:c>
      <x:c r="AB11" s="13" t="str">
        <x:f t="shared" si="3">IF(C11="","",IF(AND(AB$9&lt;=H11,AB$9+6&gt;=G11),1,""))</x:f>
      </x:c>
      <x:c r="AC11" s="12" t="str">
        <x:f t="shared" si="3">IF(C11="","",IF(AND(AC$9&lt;=H11,AC$9+6&gt;=G11),1,""))</x:f>
      </x:c>
      <x:c r="AD11" s="13" t="str">
        <x:f t="shared" si="3">IF(C11="","",IF(AND(AD$9&lt;=H11,AD$9+6&gt;=G11),1,""))</x:f>
      </x:c>
    </x:row>
    <x:row r="12" ht="26" customHeight="1">
      <x:c r="B12" s="96" t="n">
        <x:f>IF(C12="","",3)</x:f>
        <x:v>3</x:v>
      </x:c>
      <x:c r="C12" s="105" t="str">
        <x:f>IF(SUM('課題入力'!$H$6:$H$205)&lt;3,"",INDEX('課題入力'!$A$6:$A$205,MATCH(SMALL('課題入力'!$G$6:$G$205,3),'課題入力'!$G$6:$G$205,0)))</x:f>
        <x:v>見本：ゼミの資料</x:v>
      </x:c>
      <x:c r="D12" s="106" t="n">
        <x:f>IF(SUM('課題入力'!$H$6:$H$205)&lt;3,"",INDEX('課題入力'!$C$6:$C$205,MATCH(SMALL('課題入力'!$G$6:$G$205,3),'課題入力'!$G$6:$G$205,0)))</x:f>
        <x:v>90</x:v>
      </x:c>
      <x:c r="E12" s="106" t="str">
        <x:f>IF(SUM('課題入力'!$H$6:$H$205)&lt;3,"",INDEX('課題入力'!$E$6:$E$205,MATCH(SMALL('課題入力'!$G$6:$G$205,3),'課題入力'!$G$6:$G$205,0)))</x:f>
        <x:v>これから</x:v>
      </x:c>
      <x:c r="F12" s="106" t="str">
        <x:f>IF(C12="","",IF(H12&lt;'今日の3件'!$C$5,"相談","取り組む"))</x:f>
        <x:v>取り組む</x:v>
      </x:c>
      <x:c r="G12" s="99" t="n">
        <x:f>IF(C12="","",$H$6)</x:f>
        <x:v>46265</x:v>
      </x:c>
      <x:c r="H12" s="99" t="n">
        <x:f>IF(SUM('課題入力'!$H$6:$H$205)&lt;3,"",INDEX('課題入力'!$B$6:$B$205,MATCH(SMALL('課題入力'!$G$6:$G$205,3),'課題入力'!$G$6:$G$205,0)))</x:f>
        <x:v>46277</x:v>
      </x:c>
      <x:c r="I12" s="100" t="n">
        <x:f t="shared" si="1">IF(C12="","",H12-'今日の3件'!$C$5)</x:f>
        <x:v>6</x:v>
      </x:c>
      <x:c r="J12" s="74"/>
      <x:c r="K12" s="12" t="n">
        <x:f t="shared" si="2">IF(C12="","",IF(AND(K$9&lt;=H12,K$9+6&gt;=G12),1,""))</x:f>
        <x:v>1</x:v>
      </x:c>
      <x:c r="L12" s="13" t="n">
        <x:f t="shared" si="2">IF(C12="","",IF(AND(L$9&lt;=H12,L$9+6&gt;=G12),1,""))</x:f>
        <x:v>1</x:v>
      </x:c>
      <x:c r="M12" s="12" t="str">
        <x:f t="shared" si="2">IF(C12="","",IF(AND(M$9&lt;=H12,M$9+6&gt;=G12),1,""))</x:f>
      </x:c>
      <x:c r="N12" s="13" t="str">
        <x:f t="shared" si="2">IF(C12="","",IF(AND(N$9&lt;=H12,N$9+6&gt;=G12),1,""))</x:f>
      </x:c>
      <x:c r="O12" s="12" t="str">
        <x:f t="shared" si="2">IF(C12="","",IF(AND(O$9&lt;=H12,O$9+6&gt;=G12),1,""))</x:f>
      </x:c>
      <x:c r="P12" s="13" t="str">
        <x:f t="shared" si="2">IF(C12="","",IF(AND(P$9&lt;=H12,P$9+6&gt;=G12),1,""))</x:f>
      </x:c>
      <x:c r="Q12" s="12" t="str">
        <x:f t="shared" si="2">IF(C12="","",IF(AND(Q$9&lt;=H12,Q$9+6&gt;=G12),1,""))</x:f>
      </x:c>
      <x:c r="R12" s="13" t="str">
        <x:f t="shared" si="2">IF(C12="","",IF(AND(R$9&lt;=H12,R$9+6&gt;=G12),1,""))</x:f>
      </x:c>
      <x:c r="S12" s="12" t="str">
        <x:f t="shared" si="2">IF(C12="","",IF(AND(S$9&lt;=H12,S$9+6&gt;=G12),1,""))</x:f>
      </x:c>
      <x:c r="T12" s="13" t="str">
        <x:f t="shared" si="2">IF(C12="","",IF(AND(T$9&lt;=H12,T$9+6&gt;=G12),1,""))</x:f>
      </x:c>
      <x:c r="U12" s="12" t="str">
        <x:f t="shared" si="3">IF(C12="","",IF(AND(U$9&lt;=H12,U$9+6&gt;=G12),1,""))</x:f>
      </x:c>
      <x:c r="V12" s="13" t="str">
        <x:f t="shared" si="3">IF(C12="","",IF(AND(V$9&lt;=H12,V$9+6&gt;=G12),1,""))</x:f>
      </x:c>
      <x:c r="W12" s="12" t="str">
        <x:f t="shared" si="3">IF(C12="","",IF(AND(W$9&lt;=H12,W$9+6&gt;=G12),1,""))</x:f>
      </x:c>
      <x:c r="X12" s="13" t="str">
        <x:f t="shared" si="3">IF(C12="","",IF(AND(X$9&lt;=H12,X$9+6&gt;=G12),1,""))</x:f>
      </x:c>
      <x:c r="Y12" s="12" t="str">
        <x:f t="shared" si="3">IF(C12="","",IF(AND(Y$9&lt;=H12,Y$9+6&gt;=G12),1,""))</x:f>
      </x:c>
      <x:c r="Z12" s="13" t="str">
        <x:f t="shared" si="3">IF(C12="","",IF(AND(Z$9&lt;=H12,Z$9+6&gt;=G12),1,""))</x:f>
      </x:c>
      <x:c r="AA12" s="12" t="str">
        <x:f t="shared" si="3">IF(C12="","",IF(AND(AA$9&lt;=H12,AA$9+6&gt;=G12),1,""))</x:f>
      </x:c>
      <x:c r="AB12" s="13" t="str">
        <x:f t="shared" si="3">IF(C12="","",IF(AND(AB$9&lt;=H12,AB$9+6&gt;=G12),1,""))</x:f>
      </x:c>
      <x:c r="AC12" s="12" t="str">
        <x:f t="shared" si="3">IF(C12="","",IF(AND(AC$9&lt;=H12,AC$9+6&gt;=G12),1,""))</x:f>
      </x:c>
      <x:c r="AD12" s="13" t="str">
        <x:f t="shared" si="3">IF(C12="","",IF(AND(AD$9&lt;=H12,AD$9+6&gt;=G12),1,""))</x:f>
      </x:c>
    </x:row>
    <x:row r="13" ht="26" customHeight="1">
      <x:c r="B13" s="101" t="str">
        <x:f>IF(C13="","",4)</x:f>
      </x:c>
      <x:c r="C13" s="107" t="str">
        <x:f>IF(SUM('課題入力'!$H$6:$H$205)&lt;4,"",INDEX('課題入力'!$A$6:$A$205,MATCH(SMALL('課題入力'!$G$6:$G$205,4),'課題入力'!$G$6:$G$205,0)))</x:f>
      </x:c>
      <x:c r="D13" s="108" t="str">
        <x:f>IF(SUM('課題入力'!$H$6:$H$205)&lt;4,"",INDEX('課題入力'!$C$6:$C$205,MATCH(SMALL('課題入力'!$G$6:$G$205,4),'課題入力'!$G$6:$G$205,0)))</x:f>
      </x:c>
      <x:c r="E13" s="108" t="str">
        <x:f>IF(SUM('課題入力'!$H$6:$H$205)&lt;4,"",INDEX('課題入力'!$E$6:$E$205,MATCH(SMALL('課題入力'!$G$6:$G$205,4),'課題入力'!$G$6:$G$205,0)))</x:f>
      </x:c>
      <x:c r="F13" s="108" t="str">
        <x:f>IF(C13="","",IF(H13&lt;'今日の3件'!$C$5,"相談","取り組む"))</x:f>
      </x:c>
      <x:c r="G13" s="104" t="str">
        <x:f>IF(C13="","",$H$6)</x:f>
      </x:c>
      <x:c r="H13" s="104" t="str">
        <x:f>IF(SUM('課題入力'!$H$6:$H$205)&lt;4,"",INDEX('課題入力'!$B$6:$B$205,MATCH(SMALL('課題入力'!$G$6:$G$205,4),'課題入力'!$G$6:$G$205,0)))</x:f>
      </x:c>
      <x:c r="I13" s="100" t="str">
        <x:f t="shared" si="1">IF(C13="","",H13-'今日の3件'!$C$5)</x:f>
      </x:c>
      <x:c r="J13" s="74"/>
      <x:c r="K13" s="12" t="str">
        <x:f t="shared" si="2">IF(C13="","",IF(AND(K$9&lt;=H13,K$9+6&gt;=G13),1,""))</x:f>
      </x:c>
      <x:c r="L13" s="13" t="str">
        <x:f t="shared" si="2">IF(C13="","",IF(AND(L$9&lt;=H13,L$9+6&gt;=G13),1,""))</x:f>
      </x:c>
      <x:c r="M13" s="12" t="str">
        <x:f t="shared" si="2">IF(C13="","",IF(AND(M$9&lt;=H13,M$9+6&gt;=G13),1,""))</x:f>
      </x:c>
      <x:c r="N13" s="13" t="str">
        <x:f t="shared" si="2">IF(C13="","",IF(AND(N$9&lt;=H13,N$9+6&gt;=G13),1,""))</x:f>
      </x:c>
      <x:c r="O13" s="12" t="str">
        <x:f t="shared" si="2">IF(C13="","",IF(AND(O$9&lt;=H13,O$9+6&gt;=G13),1,""))</x:f>
      </x:c>
      <x:c r="P13" s="13" t="str">
        <x:f t="shared" si="2">IF(C13="","",IF(AND(P$9&lt;=H13,P$9+6&gt;=G13),1,""))</x:f>
      </x:c>
      <x:c r="Q13" s="12" t="str">
        <x:f t="shared" si="2">IF(C13="","",IF(AND(Q$9&lt;=H13,Q$9+6&gt;=G13),1,""))</x:f>
      </x:c>
      <x:c r="R13" s="13" t="str">
        <x:f t="shared" si="2">IF(C13="","",IF(AND(R$9&lt;=H13,R$9+6&gt;=G13),1,""))</x:f>
      </x:c>
      <x:c r="S13" s="12" t="str">
        <x:f t="shared" si="2">IF(C13="","",IF(AND(S$9&lt;=H13,S$9+6&gt;=G13),1,""))</x:f>
      </x:c>
      <x:c r="T13" s="13" t="str">
        <x:f t="shared" si="2">IF(C13="","",IF(AND(T$9&lt;=H13,T$9+6&gt;=G13),1,""))</x:f>
      </x:c>
      <x:c r="U13" s="12" t="str">
        <x:f t="shared" si="3">IF(C13="","",IF(AND(U$9&lt;=H13,U$9+6&gt;=G13),1,""))</x:f>
      </x:c>
      <x:c r="V13" s="13" t="str">
        <x:f t="shared" si="3">IF(C13="","",IF(AND(V$9&lt;=H13,V$9+6&gt;=G13),1,""))</x:f>
      </x:c>
      <x:c r="W13" s="12" t="str">
        <x:f t="shared" si="3">IF(C13="","",IF(AND(W$9&lt;=H13,W$9+6&gt;=G13),1,""))</x:f>
      </x:c>
      <x:c r="X13" s="13" t="str">
        <x:f t="shared" si="3">IF(C13="","",IF(AND(X$9&lt;=H13,X$9+6&gt;=G13),1,""))</x:f>
      </x:c>
      <x:c r="Y13" s="12" t="str">
        <x:f t="shared" si="3">IF(C13="","",IF(AND(Y$9&lt;=H13,Y$9+6&gt;=G13),1,""))</x:f>
      </x:c>
      <x:c r="Z13" s="13" t="str">
        <x:f t="shared" si="3">IF(C13="","",IF(AND(Z$9&lt;=H13,Z$9+6&gt;=G13),1,""))</x:f>
      </x:c>
      <x:c r="AA13" s="12" t="str">
        <x:f t="shared" si="3">IF(C13="","",IF(AND(AA$9&lt;=H13,AA$9+6&gt;=G13),1,""))</x:f>
      </x:c>
      <x:c r="AB13" s="13" t="str">
        <x:f t="shared" si="3">IF(C13="","",IF(AND(AB$9&lt;=H13,AB$9+6&gt;=G13),1,""))</x:f>
      </x:c>
      <x:c r="AC13" s="12" t="str">
        <x:f t="shared" si="3">IF(C13="","",IF(AND(AC$9&lt;=H13,AC$9+6&gt;=G13),1,""))</x:f>
      </x:c>
      <x:c r="AD13" s="13" t="str">
        <x:f t="shared" si="3">IF(C13="","",IF(AND(AD$9&lt;=H13,AD$9+6&gt;=G13),1,""))</x:f>
      </x:c>
    </x:row>
    <x:row r="14" ht="26" customHeight="1">
      <x:c r="B14" s="96" t="str">
        <x:f>IF(C14="","",5)</x:f>
      </x:c>
      <x:c r="C14" s="105" t="str">
        <x:f>IF(SUM('課題入力'!$H$6:$H$205)&lt;5,"",INDEX('課題入力'!$A$6:$A$205,MATCH(SMALL('課題入力'!$G$6:$G$205,5),'課題入力'!$G$6:$G$205,0)))</x:f>
      </x:c>
      <x:c r="D14" s="106" t="str">
        <x:f>IF(SUM('課題入力'!$H$6:$H$205)&lt;5,"",INDEX('課題入力'!$C$6:$C$205,MATCH(SMALL('課題入力'!$G$6:$G$205,5),'課題入力'!$G$6:$G$205,0)))</x:f>
      </x:c>
      <x:c r="E14" s="106" t="str">
        <x:f>IF(SUM('課題入力'!$H$6:$H$205)&lt;5,"",INDEX('課題入力'!$E$6:$E$205,MATCH(SMALL('課題入力'!$G$6:$G$205,5),'課題入力'!$G$6:$G$205,0)))</x:f>
      </x:c>
      <x:c r="F14" s="106" t="str">
        <x:f>IF(C14="","",IF(H14&lt;'今日の3件'!$C$5,"相談","取り組む"))</x:f>
      </x:c>
      <x:c r="G14" s="99" t="str">
        <x:f>IF(C14="","",$H$6)</x:f>
      </x:c>
      <x:c r="H14" s="99" t="str">
        <x:f>IF(SUM('課題入力'!$H$6:$H$205)&lt;5,"",INDEX('課題入力'!$B$6:$B$205,MATCH(SMALL('課題入力'!$G$6:$G$205,5),'課題入力'!$G$6:$G$205,0)))</x:f>
      </x:c>
      <x:c r="I14" s="100" t="str">
        <x:f t="shared" si="1">IF(C14="","",H14-'今日の3件'!$C$5)</x:f>
      </x:c>
      <x:c r="J14" s="74"/>
      <x:c r="K14" s="12" t="str">
        <x:f t="shared" si="2">IF(C14="","",IF(AND(K$9&lt;=H14,K$9+6&gt;=G14),1,""))</x:f>
      </x:c>
      <x:c r="L14" s="13" t="str">
        <x:f t="shared" si="2">IF(C14="","",IF(AND(L$9&lt;=H14,L$9+6&gt;=G14),1,""))</x:f>
      </x:c>
      <x:c r="M14" s="12" t="str">
        <x:f t="shared" si="2">IF(C14="","",IF(AND(M$9&lt;=H14,M$9+6&gt;=G14),1,""))</x:f>
      </x:c>
      <x:c r="N14" s="13" t="str">
        <x:f t="shared" si="2">IF(C14="","",IF(AND(N$9&lt;=H14,N$9+6&gt;=G14),1,""))</x:f>
      </x:c>
      <x:c r="O14" s="12" t="str">
        <x:f t="shared" si="2">IF(C14="","",IF(AND(O$9&lt;=H14,O$9+6&gt;=G14),1,""))</x:f>
      </x:c>
      <x:c r="P14" s="13" t="str">
        <x:f t="shared" si="2">IF(C14="","",IF(AND(P$9&lt;=H14,P$9+6&gt;=G14),1,""))</x:f>
      </x:c>
      <x:c r="Q14" s="12" t="str">
        <x:f t="shared" si="2">IF(C14="","",IF(AND(Q$9&lt;=H14,Q$9+6&gt;=G14),1,""))</x:f>
      </x:c>
      <x:c r="R14" s="13" t="str">
        <x:f t="shared" si="2">IF(C14="","",IF(AND(R$9&lt;=H14,R$9+6&gt;=G14),1,""))</x:f>
      </x:c>
      <x:c r="S14" s="12" t="str">
        <x:f t="shared" si="2">IF(C14="","",IF(AND(S$9&lt;=H14,S$9+6&gt;=G14),1,""))</x:f>
      </x:c>
      <x:c r="T14" s="13" t="str">
        <x:f t="shared" si="2">IF(C14="","",IF(AND(T$9&lt;=H14,T$9+6&gt;=G14),1,""))</x:f>
      </x:c>
      <x:c r="U14" s="12" t="str">
        <x:f t="shared" si="3">IF(C14="","",IF(AND(U$9&lt;=H14,U$9+6&gt;=G14),1,""))</x:f>
      </x:c>
      <x:c r="V14" s="13" t="str">
        <x:f t="shared" si="3">IF(C14="","",IF(AND(V$9&lt;=H14,V$9+6&gt;=G14),1,""))</x:f>
      </x:c>
      <x:c r="W14" s="12" t="str">
        <x:f t="shared" si="3">IF(C14="","",IF(AND(W$9&lt;=H14,W$9+6&gt;=G14),1,""))</x:f>
      </x:c>
      <x:c r="X14" s="13" t="str">
        <x:f t="shared" si="3">IF(C14="","",IF(AND(X$9&lt;=H14,X$9+6&gt;=G14),1,""))</x:f>
      </x:c>
      <x:c r="Y14" s="12" t="str">
        <x:f t="shared" si="3">IF(C14="","",IF(AND(Y$9&lt;=H14,Y$9+6&gt;=G14),1,""))</x:f>
      </x:c>
      <x:c r="Z14" s="13" t="str">
        <x:f t="shared" si="3">IF(C14="","",IF(AND(Z$9&lt;=H14,Z$9+6&gt;=G14),1,""))</x:f>
      </x:c>
      <x:c r="AA14" s="12" t="str">
        <x:f t="shared" si="3">IF(C14="","",IF(AND(AA$9&lt;=H14,AA$9+6&gt;=G14),1,""))</x:f>
      </x:c>
      <x:c r="AB14" s="13" t="str">
        <x:f t="shared" si="3">IF(C14="","",IF(AND(AB$9&lt;=H14,AB$9+6&gt;=G14),1,""))</x:f>
      </x:c>
      <x:c r="AC14" s="12" t="str">
        <x:f t="shared" si="3">IF(C14="","",IF(AND(AC$9&lt;=H14,AC$9+6&gt;=G14),1,""))</x:f>
      </x:c>
      <x:c r="AD14" s="13" t="str">
        <x:f t="shared" si="3">IF(C14="","",IF(AND(AD$9&lt;=H14,AD$9+6&gt;=G14),1,""))</x:f>
      </x:c>
    </x:row>
    <x:row r="15" ht="26" customHeight="1">
      <x:c r="B15" s="101" t="str">
        <x:f>IF(C15="","",6)</x:f>
      </x:c>
      <x:c r="C15" s="107" t="str">
        <x:f>IF(SUM('課題入力'!$H$6:$H$205)&lt;6,"",INDEX('課題入力'!$A$6:$A$205,MATCH(SMALL('課題入力'!$G$6:$G$205,6),'課題入力'!$G$6:$G$205,0)))</x:f>
      </x:c>
      <x:c r="D15" s="108" t="str">
        <x:f>IF(SUM('課題入力'!$H$6:$H$205)&lt;6,"",INDEX('課題入力'!$C$6:$C$205,MATCH(SMALL('課題入力'!$G$6:$G$205,6),'課題入力'!$G$6:$G$205,0)))</x:f>
      </x:c>
      <x:c r="E15" s="108" t="str">
        <x:f>IF(SUM('課題入力'!$H$6:$H$205)&lt;6,"",INDEX('課題入力'!$E$6:$E$205,MATCH(SMALL('課題入力'!$G$6:$G$205,6),'課題入力'!$G$6:$G$205,0)))</x:f>
      </x:c>
      <x:c r="F15" s="108" t="str">
        <x:f>IF(C15="","",IF(H15&lt;'今日の3件'!$C$5,"相談","取り組む"))</x:f>
      </x:c>
      <x:c r="G15" s="104" t="str">
        <x:f>IF(C15="","",$H$6)</x:f>
      </x:c>
      <x:c r="H15" s="104" t="str">
        <x:f>IF(SUM('課題入力'!$H$6:$H$205)&lt;6,"",INDEX('課題入力'!$B$6:$B$205,MATCH(SMALL('課題入力'!$G$6:$G$205,6),'課題入力'!$G$6:$G$205,0)))</x:f>
      </x:c>
      <x:c r="I15" s="100" t="str">
        <x:f t="shared" si="1">IF(C15="","",H15-'今日の3件'!$C$5)</x:f>
      </x:c>
      <x:c r="J15" s="74"/>
      <x:c r="K15" s="12" t="str">
        <x:f t="shared" si="2">IF(C15="","",IF(AND(K$9&lt;=H15,K$9+6&gt;=G15),1,""))</x:f>
      </x:c>
      <x:c r="L15" s="13" t="str">
        <x:f t="shared" si="2">IF(C15="","",IF(AND(L$9&lt;=H15,L$9+6&gt;=G15),1,""))</x:f>
      </x:c>
      <x:c r="M15" s="12" t="str">
        <x:f t="shared" si="2">IF(C15="","",IF(AND(M$9&lt;=H15,M$9+6&gt;=G15),1,""))</x:f>
      </x:c>
      <x:c r="N15" s="13" t="str">
        <x:f t="shared" si="2">IF(C15="","",IF(AND(N$9&lt;=H15,N$9+6&gt;=G15),1,""))</x:f>
      </x:c>
      <x:c r="O15" s="12" t="str">
        <x:f t="shared" si="2">IF(C15="","",IF(AND(O$9&lt;=H15,O$9+6&gt;=G15),1,""))</x:f>
      </x:c>
      <x:c r="P15" s="13" t="str">
        <x:f t="shared" si="2">IF(C15="","",IF(AND(P$9&lt;=H15,P$9+6&gt;=G15),1,""))</x:f>
      </x:c>
      <x:c r="Q15" s="12" t="str">
        <x:f t="shared" si="2">IF(C15="","",IF(AND(Q$9&lt;=H15,Q$9+6&gt;=G15),1,""))</x:f>
      </x:c>
      <x:c r="R15" s="13" t="str">
        <x:f t="shared" si="2">IF(C15="","",IF(AND(R$9&lt;=H15,R$9+6&gt;=G15),1,""))</x:f>
      </x:c>
      <x:c r="S15" s="12" t="str">
        <x:f t="shared" si="2">IF(C15="","",IF(AND(S$9&lt;=H15,S$9+6&gt;=G15),1,""))</x:f>
      </x:c>
      <x:c r="T15" s="13" t="str">
        <x:f t="shared" si="2">IF(C15="","",IF(AND(T$9&lt;=H15,T$9+6&gt;=G15),1,""))</x:f>
      </x:c>
      <x:c r="U15" s="12" t="str">
        <x:f t="shared" si="3">IF(C15="","",IF(AND(U$9&lt;=H15,U$9+6&gt;=G15),1,""))</x:f>
      </x:c>
      <x:c r="V15" s="13" t="str">
        <x:f t="shared" si="3">IF(C15="","",IF(AND(V$9&lt;=H15,V$9+6&gt;=G15),1,""))</x:f>
      </x:c>
      <x:c r="W15" s="12" t="str">
        <x:f t="shared" si="3">IF(C15="","",IF(AND(W$9&lt;=H15,W$9+6&gt;=G15),1,""))</x:f>
      </x:c>
      <x:c r="X15" s="13" t="str">
        <x:f t="shared" si="3">IF(C15="","",IF(AND(X$9&lt;=H15,X$9+6&gt;=G15),1,""))</x:f>
      </x:c>
      <x:c r="Y15" s="12" t="str">
        <x:f t="shared" si="3">IF(C15="","",IF(AND(Y$9&lt;=H15,Y$9+6&gt;=G15),1,""))</x:f>
      </x:c>
      <x:c r="Z15" s="13" t="str">
        <x:f t="shared" si="3">IF(C15="","",IF(AND(Z$9&lt;=H15,Z$9+6&gt;=G15),1,""))</x:f>
      </x:c>
      <x:c r="AA15" s="12" t="str">
        <x:f t="shared" si="3">IF(C15="","",IF(AND(AA$9&lt;=H15,AA$9+6&gt;=G15),1,""))</x:f>
      </x:c>
      <x:c r="AB15" s="13" t="str">
        <x:f t="shared" si="3">IF(C15="","",IF(AND(AB$9&lt;=H15,AB$9+6&gt;=G15),1,""))</x:f>
      </x:c>
      <x:c r="AC15" s="12" t="str">
        <x:f t="shared" si="3">IF(C15="","",IF(AND(AC$9&lt;=H15,AC$9+6&gt;=G15),1,""))</x:f>
      </x:c>
      <x:c r="AD15" s="13" t="str">
        <x:f t="shared" si="3">IF(C15="","",IF(AND(AD$9&lt;=H15,AD$9+6&gt;=G15),1,""))</x:f>
      </x:c>
    </x:row>
    <x:row r="16" ht="26" customHeight="1">
      <x:c r="B16" s="96" t="str">
        <x:f>IF(C16="","",7)</x:f>
      </x:c>
      <x:c r="C16" s="105" t="str">
        <x:f>IF(SUM('課題入力'!$H$6:$H$205)&lt;7,"",INDEX('課題入力'!$A$6:$A$205,MATCH(SMALL('課題入力'!$G$6:$G$205,7),'課題入力'!$G$6:$G$205,0)))</x:f>
      </x:c>
      <x:c r="D16" s="106" t="str">
        <x:f>IF(SUM('課題入力'!$H$6:$H$205)&lt;7,"",INDEX('課題入力'!$C$6:$C$205,MATCH(SMALL('課題入力'!$G$6:$G$205,7),'課題入力'!$G$6:$G$205,0)))</x:f>
      </x:c>
      <x:c r="E16" s="106" t="str">
        <x:f>IF(SUM('課題入力'!$H$6:$H$205)&lt;7,"",INDEX('課題入力'!$E$6:$E$205,MATCH(SMALL('課題入力'!$G$6:$G$205,7),'課題入力'!$G$6:$G$205,0)))</x:f>
      </x:c>
      <x:c r="F16" s="106" t="str">
        <x:f>IF(C16="","",IF(H16&lt;'今日の3件'!$C$5,"相談","取り組む"))</x:f>
      </x:c>
      <x:c r="G16" s="99" t="str">
        <x:f>IF(C16="","",$H$6)</x:f>
      </x:c>
      <x:c r="H16" s="99" t="str">
        <x:f>IF(SUM('課題入力'!$H$6:$H$205)&lt;7,"",INDEX('課題入力'!$B$6:$B$205,MATCH(SMALL('課題入力'!$G$6:$G$205,7),'課題入力'!$G$6:$G$205,0)))</x:f>
      </x:c>
      <x:c r="I16" s="100" t="str">
        <x:f t="shared" si="1">IF(C16="","",H16-'今日の3件'!$C$5)</x:f>
      </x:c>
      <x:c r="J16" s="74"/>
      <x:c r="K16" s="12" t="str">
        <x:f t="shared" si="2">IF(C16="","",IF(AND(K$9&lt;=H16,K$9+6&gt;=G16),1,""))</x:f>
      </x:c>
      <x:c r="L16" s="13" t="str">
        <x:f t="shared" si="2">IF(C16="","",IF(AND(L$9&lt;=H16,L$9+6&gt;=G16),1,""))</x:f>
      </x:c>
      <x:c r="M16" s="12" t="str">
        <x:f t="shared" si="2">IF(C16="","",IF(AND(M$9&lt;=H16,M$9+6&gt;=G16),1,""))</x:f>
      </x:c>
      <x:c r="N16" s="13" t="str">
        <x:f t="shared" si="2">IF(C16="","",IF(AND(N$9&lt;=H16,N$9+6&gt;=G16),1,""))</x:f>
      </x:c>
      <x:c r="O16" s="12" t="str">
        <x:f t="shared" si="2">IF(C16="","",IF(AND(O$9&lt;=H16,O$9+6&gt;=G16),1,""))</x:f>
      </x:c>
      <x:c r="P16" s="13" t="str">
        <x:f t="shared" si="2">IF(C16="","",IF(AND(P$9&lt;=H16,P$9+6&gt;=G16),1,""))</x:f>
      </x:c>
      <x:c r="Q16" s="12" t="str">
        <x:f t="shared" si="2">IF(C16="","",IF(AND(Q$9&lt;=H16,Q$9+6&gt;=G16),1,""))</x:f>
      </x:c>
      <x:c r="R16" s="13" t="str">
        <x:f t="shared" si="2">IF(C16="","",IF(AND(R$9&lt;=H16,R$9+6&gt;=G16),1,""))</x:f>
      </x:c>
      <x:c r="S16" s="12" t="str">
        <x:f t="shared" si="2">IF(C16="","",IF(AND(S$9&lt;=H16,S$9+6&gt;=G16),1,""))</x:f>
      </x:c>
      <x:c r="T16" s="13" t="str">
        <x:f t="shared" si="2">IF(C16="","",IF(AND(T$9&lt;=H16,T$9+6&gt;=G16),1,""))</x:f>
      </x:c>
      <x:c r="U16" s="12" t="str">
        <x:f t="shared" si="3">IF(C16="","",IF(AND(U$9&lt;=H16,U$9+6&gt;=G16),1,""))</x:f>
      </x:c>
      <x:c r="V16" s="13" t="str">
        <x:f t="shared" si="3">IF(C16="","",IF(AND(V$9&lt;=H16,V$9+6&gt;=G16),1,""))</x:f>
      </x:c>
      <x:c r="W16" s="12" t="str">
        <x:f t="shared" si="3">IF(C16="","",IF(AND(W$9&lt;=H16,W$9+6&gt;=G16),1,""))</x:f>
      </x:c>
      <x:c r="X16" s="13" t="str">
        <x:f t="shared" si="3">IF(C16="","",IF(AND(X$9&lt;=H16,X$9+6&gt;=G16),1,""))</x:f>
      </x:c>
      <x:c r="Y16" s="12" t="str">
        <x:f t="shared" si="3">IF(C16="","",IF(AND(Y$9&lt;=H16,Y$9+6&gt;=G16),1,""))</x:f>
      </x:c>
      <x:c r="Z16" s="13" t="str">
        <x:f t="shared" si="3">IF(C16="","",IF(AND(Z$9&lt;=H16,Z$9+6&gt;=G16),1,""))</x:f>
      </x:c>
      <x:c r="AA16" s="12" t="str">
        <x:f t="shared" si="3">IF(C16="","",IF(AND(AA$9&lt;=H16,AA$9+6&gt;=G16),1,""))</x:f>
      </x:c>
      <x:c r="AB16" s="13" t="str">
        <x:f t="shared" si="3">IF(C16="","",IF(AND(AB$9&lt;=H16,AB$9+6&gt;=G16),1,""))</x:f>
      </x:c>
      <x:c r="AC16" s="12" t="str">
        <x:f t="shared" si="3">IF(C16="","",IF(AND(AC$9&lt;=H16,AC$9+6&gt;=G16),1,""))</x:f>
      </x:c>
      <x:c r="AD16" s="13" t="str">
        <x:f t="shared" si="3">IF(C16="","",IF(AND(AD$9&lt;=H16,AD$9+6&gt;=G16),1,""))</x:f>
      </x:c>
    </x:row>
    <x:row r="17" ht="26" customHeight="1">
      <x:c r="B17" s="101" t="str">
        <x:f>IF(C17="","",8)</x:f>
      </x:c>
      <x:c r="C17" s="107" t="str">
        <x:f>IF(SUM('課題入力'!$H$6:$H$205)&lt;8,"",INDEX('課題入力'!$A$6:$A$205,MATCH(SMALL('課題入力'!$G$6:$G$205,8),'課題入力'!$G$6:$G$205,0)))</x:f>
      </x:c>
      <x:c r="D17" s="108" t="str">
        <x:f>IF(SUM('課題入力'!$H$6:$H$205)&lt;8,"",INDEX('課題入力'!$C$6:$C$205,MATCH(SMALL('課題入力'!$G$6:$G$205,8),'課題入力'!$G$6:$G$205,0)))</x:f>
      </x:c>
      <x:c r="E17" s="108" t="str">
        <x:f>IF(SUM('課題入力'!$H$6:$H$205)&lt;8,"",INDEX('課題入力'!$E$6:$E$205,MATCH(SMALL('課題入力'!$G$6:$G$205,8),'課題入力'!$G$6:$G$205,0)))</x:f>
      </x:c>
      <x:c r="F17" s="108" t="str">
        <x:f>IF(C17="","",IF(H17&lt;'今日の3件'!$C$5,"相談","取り組む"))</x:f>
      </x:c>
      <x:c r="G17" s="104" t="str">
        <x:f>IF(C17="","",$H$6)</x:f>
      </x:c>
      <x:c r="H17" s="104" t="str">
        <x:f>IF(SUM('課題入力'!$H$6:$H$205)&lt;8,"",INDEX('課題入力'!$B$6:$B$205,MATCH(SMALL('課題入力'!$G$6:$G$205,8),'課題入力'!$G$6:$G$205,0)))</x:f>
      </x:c>
      <x:c r="I17" s="100" t="str">
        <x:f t="shared" si="1">IF(C17="","",H17-'今日の3件'!$C$5)</x:f>
      </x:c>
      <x:c r="J17" s="74"/>
      <x:c r="K17" s="12" t="str">
        <x:f t="shared" si="2">IF(C17="","",IF(AND(K$9&lt;=H17,K$9+6&gt;=G17),1,""))</x:f>
      </x:c>
      <x:c r="L17" s="13" t="str">
        <x:f t="shared" si="2">IF(C17="","",IF(AND(L$9&lt;=H17,L$9+6&gt;=G17),1,""))</x:f>
      </x:c>
      <x:c r="M17" s="12" t="str">
        <x:f t="shared" si="2">IF(C17="","",IF(AND(M$9&lt;=H17,M$9+6&gt;=G17),1,""))</x:f>
      </x:c>
      <x:c r="N17" s="13" t="str">
        <x:f t="shared" si="2">IF(C17="","",IF(AND(N$9&lt;=H17,N$9+6&gt;=G17),1,""))</x:f>
      </x:c>
      <x:c r="O17" s="12" t="str">
        <x:f t="shared" si="2">IF(C17="","",IF(AND(O$9&lt;=H17,O$9+6&gt;=G17),1,""))</x:f>
      </x:c>
      <x:c r="P17" s="13" t="str">
        <x:f t="shared" si="2">IF(C17="","",IF(AND(P$9&lt;=H17,P$9+6&gt;=G17),1,""))</x:f>
      </x:c>
      <x:c r="Q17" s="12" t="str">
        <x:f t="shared" si="2">IF(C17="","",IF(AND(Q$9&lt;=H17,Q$9+6&gt;=G17),1,""))</x:f>
      </x:c>
      <x:c r="R17" s="13" t="str">
        <x:f t="shared" si="2">IF(C17="","",IF(AND(R$9&lt;=H17,R$9+6&gt;=G17),1,""))</x:f>
      </x:c>
      <x:c r="S17" s="12" t="str">
        <x:f t="shared" si="2">IF(C17="","",IF(AND(S$9&lt;=H17,S$9+6&gt;=G17),1,""))</x:f>
      </x:c>
      <x:c r="T17" s="13" t="str">
        <x:f t="shared" si="2">IF(C17="","",IF(AND(T$9&lt;=H17,T$9+6&gt;=G17),1,""))</x:f>
      </x:c>
      <x:c r="U17" s="12" t="str">
        <x:f t="shared" si="3">IF(C17="","",IF(AND(U$9&lt;=H17,U$9+6&gt;=G17),1,""))</x:f>
      </x:c>
      <x:c r="V17" s="13" t="str">
        <x:f t="shared" si="3">IF(C17="","",IF(AND(V$9&lt;=H17,V$9+6&gt;=G17),1,""))</x:f>
      </x:c>
      <x:c r="W17" s="12" t="str">
        <x:f t="shared" si="3">IF(C17="","",IF(AND(W$9&lt;=H17,W$9+6&gt;=G17),1,""))</x:f>
      </x:c>
      <x:c r="X17" s="13" t="str">
        <x:f t="shared" si="3">IF(C17="","",IF(AND(X$9&lt;=H17,X$9+6&gt;=G17),1,""))</x:f>
      </x:c>
      <x:c r="Y17" s="12" t="str">
        <x:f t="shared" si="3">IF(C17="","",IF(AND(Y$9&lt;=H17,Y$9+6&gt;=G17),1,""))</x:f>
      </x:c>
      <x:c r="Z17" s="13" t="str">
        <x:f t="shared" si="3">IF(C17="","",IF(AND(Z$9&lt;=H17,Z$9+6&gt;=G17),1,""))</x:f>
      </x:c>
      <x:c r="AA17" s="12" t="str">
        <x:f t="shared" si="3">IF(C17="","",IF(AND(AA$9&lt;=H17,AA$9+6&gt;=G17),1,""))</x:f>
      </x:c>
      <x:c r="AB17" s="13" t="str">
        <x:f t="shared" si="3">IF(C17="","",IF(AND(AB$9&lt;=H17,AB$9+6&gt;=G17),1,""))</x:f>
      </x:c>
      <x:c r="AC17" s="12" t="str">
        <x:f t="shared" si="3">IF(C17="","",IF(AND(AC$9&lt;=H17,AC$9+6&gt;=G17),1,""))</x:f>
      </x:c>
      <x:c r="AD17" s="13" t="str">
        <x:f t="shared" si="3">IF(C17="","",IF(AND(AD$9&lt;=H17,AD$9+6&gt;=G17),1,""))</x:f>
      </x:c>
    </x:row>
    <x:row r="18" ht="26" customHeight="1">
      <x:c r="B18" s="96" t="str">
        <x:f>IF(C18="","",9)</x:f>
      </x:c>
      <x:c r="C18" s="105" t="str">
        <x:f>IF(SUM('課題入力'!$H$6:$H$205)&lt;9,"",INDEX('課題入力'!$A$6:$A$205,MATCH(SMALL('課題入力'!$G$6:$G$205,9),'課題入力'!$G$6:$G$205,0)))</x:f>
      </x:c>
      <x:c r="D18" s="106" t="str">
        <x:f>IF(SUM('課題入力'!$H$6:$H$205)&lt;9,"",INDEX('課題入力'!$C$6:$C$205,MATCH(SMALL('課題入力'!$G$6:$G$205,9),'課題入力'!$G$6:$G$205,0)))</x:f>
      </x:c>
      <x:c r="E18" s="106" t="str">
        <x:f>IF(SUM('課題入力'!$H$6:$H$205)&lt;9,"",INDEX('課題入力'!$E$6:$E$205,MATCH(SMALL('課題入力'!$G$6:$G$205,9),'課題入力'!$G$6:$G$205,0)))</x:f>
      </x:c>
      <x:c r="F18" s="106" t="str">
        <x:f>IF(C18="","",IF(H18&lt;'今日の3件'!$C$5,"相談","取り組む"))</x:f>
      </x:c>
      <x:c r="G18" s="99" t="str">
        <x:f>IF(C18="","",$H$6)</x:f>
      </x:c>
      <x:c r="H18" s="99" t="str">
        <x:f>IF(SUM('課題入力'!$H$6:$H$205)&lt;9,"",INDEX('課題入力'!$B$6:$B$205,MATCH(SMALL('課題入力'!$G$6:$G$205,9),'課題入力'!$G$6:$G$205,0)))</x:f>
      </x:c>
      <x:c r="I18" s="100" t="str">
        <x:f t="shared" si="1">IF(C18="","",H18-'今日の3件'!$C$5)</x:f>
      </x:c>
      <x:c r="J18" s="74"/>
      <x:c r="K18" s="12" t="str">
        <x:f t="shared" si="2">IF(C18="","",IF(AND(K$9&lt;=H18,K$9+6&gt;=G18),1,""))</x:f>
      </x:c>
      <x:c r="L18" s="13" t="str">
        <x:f t="shared" si="2">IF(C18="","",IF(AND(L$9&lt;=H18,L$9+6&gt;=G18),1,""))</x:f>
      </x:c>
      <x:c r="M18" s="12" t="str">
        <x:f t="shared" si="2">IF(C18="","",IF(AND(M$9&lt;=H18,M$9+6&gt;=G18),1,""))</x:f>
      </x:c>
      <x:c r="N18" s="13" t="str">
        <x:f t="shared" si="2">IF(C18="","",IF(AND(N$9&lt;=H18,N$9+6&gt;=G18),1,""))</x:f>
      </x:c>
      <x:c r="O18" s="12" t="str">
        <x:f t="shared" si="2">IF(C18="","",IF(AND(O$9&lt;=H18,O$9+6&gt;=G18),1,""))</x:f>
      </x:c>
      <x:c r="P18" s="13" t="str">
        <x:f t="shared" si="2">IF(C18="","",IF(AND(P$9&lt;=H18,P$9+6&gt;=G18),1,""))</x:f>
      </x:c>
      <x:c r="Q18" s="12" t="str">
        <x:f t="shared" si="2">IF(C18="","",IF(AND(Q$9&lt;=H18,Q$9+6&gt;=G18),1,""))</x:f>
      </x:c>
      <x:c r="R18" s="13" t="str">
        <x:f t="shared" si="2">IF(C18="","",IF(AND(R$9&lt;=H18,R$9+6&gt;=G18),1,""))</x:f>
      </x:c>
      <x:c r="S18" s="12" t="str">
        <x:f t="shared" si="2">IF(C18="","",IF(AND(S$9&lt;=H18,S$9+6&gt;=G18),1,""))</x:f>
      </x:c>
      <x:c r="T18" s="13" t="str">
        <x:f t="shared" si="2">IF(C18="","",IF(AND(T$9&lt;=H18,T$9+6&gt;=G18),1,""))</x:f>
      </x:c>
      <x:c r="U18" s="12" t="str">
        <x:f t="shared" si="3">IF(C18="","",IF(AND(U$9&lt;=H18,U$9+6&gt;=G18),1,""))</x:f>
      </x:c>
      <x:c r="V18" s="13" t="str">
        <x:f t="shared" si="3">IF(C18="","",IF(AND(V$9&lt;=H18,V$9+6&gt;=G18),1,""))</x:f>
      </x:c>
      <x:c r="W18" s="12" t="str">
        <x:f t="shared" si="3">IF(C18="","",IF(AND(W$9&lt;=H18,W$9+6&gt;=G18),1,""))</x:f>
      </x:c>
      <x:c r="X18" s="13" t="str">
        <x:f t="shared" si="3">IF(C18="","",IF(AND(X$9&lt;=H18,X$9+6&gt;=G18),1,""))</x:f>
      </x:c>
      <x:c r="Y18" s="12" t="str">
        <x:f t="shared" si="3">IF(C18="","",IF(AND(Y$9&lt;=H18,Y$9+6&gt;=G18),1,""))</x:f>
      </x:c>
      <x:c r="Z18" s="13" t="str">
        <x:f t="shared" si="3">IF(C18="","",IF(AND(Z$9&lt;=H18,Z$9+6&gt;=G18),1,""))</x:f>
      </x:c>
      <x:c r="AA18" s="12" t="str">
        <x:f t="shared" si="3">IF(C18="","",IF(AND(AA$9&lt;=H18,AA$9+6&gt;=G18),1,""))</x:f>
      </x:c>
      <x:c r="AB18" s="13" t="str">
        <x:f t="shared" si="3">IF(C18="","",IF(AND(AB$9&lt;=H18,AB$9+6&gt;=G18),1,""))</x:f>
      </x:c>
      <x:c r="AC18" s="12" t="str">
        <x:f t="shared" si="3">IF(C18="","",IF(AND(AC$9&lt;=H18,AC$9+6&gt;=G18),1,""))</x:f>
      </x:c>
      <x:c r="AD18" s="13" t="str">
        <x:f t="shared" si="3">IF(C18="","",IF(AND(AD$9&lt;=H18,AD$9+6&gt;=G18),1,""))</x:f>
      </x:c>
    </x:row>
    <x:row r="19" ht="26" customHeight="1">
      <x:c r="B19" s="101" t="str">
        <x:f>IF(C19="","",10)</x:f>
      </x:c>
      <x:c r="C19" s="107" t="str">
        <x:f>IF(SUM('課題入力'!$H$6:$H$205)&lt;10,"",INDEX('課題入力'!$A$6:$A$205,MATCH(SMALL('課題入力'!$G$6:$G$205,10),'課題入力'!$G$6:$G$205,0)))</x:f>
      </x:c>
      <x:c r="D19" s="108" t="str">
        <x:f>IF(SUM('課題入力'!$H$6:$H$205)&lt;10,"",INDEX('課題入力'!$C$6:$C$205,MATCH(SMALL('課題入力'!$G$6:$G$205,10),'課題入力'!$G$6:$G$205,0)))</x:f>
      </x:c>
      <x:c r="E19" s="108" t="str">
        <x:f>IF(SUM('課題入力'!$H$6:$H$205)&lt;10,"",INDEX('課題入力'!$E$6:$E$205,MATCH(SMALL('課題入力'!$G$6:$G$205,10),'課題入力'!$G$6:$G$205,0)))</x:f>
      </x:c>
      <x:c r="F19" s="108" t="str">
        <x:f>IF(C19="","",IF(H19&lt;'今日の3件'!$C$5,"相談","取り組む"))</x:f>
      </x:c>
      <x:c r="G19" s="104" t="str">
        <x:f>IF(C19="","",$H$6)</x:f>
      </x:c>
      <x:c r="H19" s="104" t="str">
        <x:f>IF(SUM('課題入力'!$H$6:$H$205)&lt;10,"",INDEX('課題入力'!$B$6:$B$205,MATCH(SMALL('課題入力'!$G$6:$G$205,10),'課題入力'!$G$6:$G$205,0)))</x:f>
      </x:c>
      <x:c r="I19" s="100" t="str">
        <x:f t="shared" si="1">IF(C19="","",H19-'今日の3件'!$C$5)</x:f>
      </x:c>
      <x:c r="J19" s="74"/>
      <x:c r="K19" s="12" t="str">
        <x:f t="shared" si="2">IF(C19="","",IF(AND(K$9&lt;=H19,K$9+6&gt;=G19),1,""))</x:f>
      </x:c>
      <x:c r="L19" s="13" t="str">
        <x:f t="shared" si="2">IF(C19="","",IF(AND(L$9&lt;=H19,L$9+6&gt;=G19),1,""))</x:f>
      </x:c>
      <x:c r="M19" s="12" t="str">
        <x:f t="shared" si="2">IF(C19="","",IF(AND(M$9&lt;=H19,M$9+6&gt;=G19),1,""))</x:f>
      </x:c>
      <x:c r="N19" s="13" t="str">
        <x:f t="shared" si="2">IF(C19="","",IF(AND(N$9&lt;=H19,N$9+6&gt;=G19),1,""))</x:f>
      </x:c>
      <x:c r="O19" s="12" t="str">
        <x:f t="shared" si="2">IF(C19="","",IF(AND(O$9&lt;=H19,O$9+6&gt;=G19),1,""))</x:f>
      </x:c>
      <x:c r="P19" s="13" t="str">
        <x:f t="shared" si="2">IF(C19="","",IF(AND(P$9&lt;=H19,P$9+6&gt;=G19),1,""))</x:f>
      </x:c>
      <x:c r="Q19" s="12" t="str">
        <x:f t="shared" si="2">IF(C19="","",IF(AND(Q$9&lt;=H19,Q$9+6&gt;=G19),1,""))</x:f>
      </x:c>
      <x:c r="R19" s="13" t="str">
        <x:f t="shared" si="2">IF(C19="","",IF(AND(R$9&lt;=H19,R$9+6&gt;=G19),1,""))</x:f>
      </x:c>
      <x:c r="S19" s="12" t="str">
        <x:f t="shared" si="2">IF(C19="","",IF(AND(S$9&lt;=H19,S$9+6&gt;=G19),1,""))</x:f>
      </x:c>
      <x:c r="T19" s="13" t="str">
        <x:f t="shared" si="2">IF(C19="","",IF(AND(T$9&lt;=H19,T$9+6&gt;=G19),1,""))</x:f>
      </x:c>
      <x:c r="U19" s="12" t="str">
        <x:f t="shared" si="3">IF(C19="","",IF(AND(U$9&lt;=H19,U$9+6&gt;=G19),1,""))</x:f>
      </x:c>
      <x:c r="V19" s="13" t="str">
        <x:f t="shared" si="3">IF(C19="","",IF(AND(V$9&lt;=H19,V$9+6&gt;=G19),1,""))</x:f>
      </x:c>
      <x:c r="W19" s="12" t="str">
        <x:f t="shared" si="3">IF(C19="","",IF(AND(W$9&lt;=H19,W$9+6&gt;=G19),1,""))</x:f>
      </x:c>
      <x:c r="X19" s="13" t="str">
        <x:f t="shared" si="3">IF(C19="","",IF(AND(X$9&lt;=H19,X$9+6&gt;=G19),1,""))</x:f>
      </x:c>
      <x:c r="Y19" s="12" t="str">
        <x:f t="shared" si="3">IF(C19="","",IF(AND(Y$9&lt;=H19,Y$9+6&gt;=G19),1,""))</x:f>
      </x:c>
      <x:c r="Z19" s="13" t="str">
        <x:f t="shared" si="3">IF(C19="","",IF(AND(Z$9&lt;=H19,Z$9+6&gt;=G19),1,""))</x:f>
      </x:c>
      <x:c r="AA19" s="12" t="str">
        <x:f t="shared" si="3">IF(C19="","",IF(AND(AA$9&lt;=H19,AA$9+6&gt;=G19),1,""))</x:f>
      </x:c>
      <x:c r="AB19" s="13" t="str">
        <x:f t="shared" si="3">IF(C19="","",IF(AND(AB$9&lt;=H19,AB$9+6&gt;=G19),1,""))</x:f>
      </x:c>
      <x:c r="AC19" s="12" t="str">
        <x:f t="shared" si="3">IF(C19="","",IF(AND(AC$9&lt;=H19,AC$9+6&gt;=G19),1,""))</x:f>
      </x:c>
      <x:c r="AD19" s="13" t="str">
        <x:f t="shared" si="3">IF(C19="","",IF(AND(AD$9&lt;=H19,AD$9+6&gt;=G19),1,""))</x:f>
      </x:c>
    </x:row>
    <x:row r="20" ht="26" customHeight="1">
      <x:c r="B20" s="96" t="str">
        <x:f>IF(C20="","",11)</x:f>
      </x:c>
      <x:c r="C20" s="105" t="str">
        <x:f>IF(SUM('課題入力'!$H$6:$H$205)&lt;11,"",INDEX('課題入力'!$A$6:$A$205,MATCH(SMALL('課題入力'!$G$6:$G$205,11),'課題入力'!$G$6:$G$205,0)))</x:f>
      </x:c>
      <x:c r="D20" s="106" t="str">
        <x:f>IF(SUM('課題入力'!$H$6:$H$205)&lt;11,"",INDEX('課題入力'!$C$6:$C$205,MATCH(SMALL('課題入力'!$G$6:$G$205,11),'課題入力'!$G$6:$G$205,0)))</x:f>
      </x:c>
      <x:c r="E20" s="106" t="str">
        <x:f>IF(SUM('課題入力'!$H$6:$H$205)&lt;11,"",INDEX('課題入力'!$E$6:$E$205,MATCH(SMALL('課題入力'!$G$6:$G$205,11),'課題入力'!$G$6:$G$205,0)))</x:f>
      </x:c>
      <x:c r="F20" s="106" t="str">
        <x:f>IF(C20="","",IF(H20&lt;'今日の3件'!$C$5,"相談","取り組む"))</x:f>
      </x:c>
      <x:c r="G20" s="99" t="str">
        <x:f>IF(C20="","",$H$6)</x:f>
      </x:c>
      <x:c r="H20" s="99" t="str">
        <x:f>IF(SUM('課題入力'!$H$6:$H$205)&lt;11,"",INDEX('課題入力'!$B$6:$B$205,MATCH(SMALL('課題入力'!$G$6:$G$205,11),'課題入力'!$G$6:$G$205,0)))</x:f>
      </x:c>
      <x:c r="I20" s="100" t="str">
        <x:f t="shared" si="1">IF(C20="","",H20-'今日の3件'!$C$5)</x:f>
      </x:c>
      <x:c r="J20" s="74"/>
      <x:c r="K20" s="12" t="str">
        <x:f t="shared" ref="K20:T29" si="4">IF(C20="","",IF(AND(K$9&lt;=H20,K$9+6&gt;=G20),1,""))</x:f>
      </x:c>
      <x:c r="L20" s="13" t="str">
        <x:f t="shared" si="4">IF(C20="","",IF(AND(L$9&lt;=H20,L$9+6&gt;=G20),1,""))</x:f>
      </x:c>
      <x:c r="M20" s="12" t="str">
        <x:f t="shared" si="4">IF(C20="","",IF(AND(M$9&lt;=H20,M$9+6&gt;=G20),1,""))</x:f>
      </x:c>
      <x:c r="N20" s="13" t="str">
        <x:f t="shared" si="4">IF(C20="","",IF(AND(N$9&lt;=H20,N$9+6&gt;=G20),1,""))</x:f>
      </x:c>
      <x:c r="O20" s="12" t="str">
        <x:f t="shared" si="4">IF(C20="","",IF(AND(O$9&lt;=H20,O$9+6&gt;=G20),1,""))</x:f>
      </x:c>
      <x:c r="P20" s="13" t="str">
        <x:f t="shared" si="4">IF(C20="","",IF(AND(P$9&lt;=H20,P$9+6&gt;=G20),1,""))</x:f>
      </x:c>
      <x:c r="Q20" s="12" t="str">
        <x:f t="shared" si="4">IF(C20="","",IF(AND(Q$9&lt;=H20,Q$9+6&gt;=G20),1,""))</x:f>
      </x:c>
      <x:c r="R20" s="13" t="str">
        <x:f t="shared" si="4">IF(C20="","",IF(AND(R$9&lt;=H20,R$9+6&gt;=G20),1,""))</x:f>
      </x:c>
      <x:c r="S20" s="12" t="str">
        <x:f t="shared" si="4">IF(C20="","",IF(AND(S$9&lt;=H20,S$9+6&gt;=G20),1,""))</x:f>
      </x:c>
      <x:c r="T20" s="13" t="str">
        <x:f t="shared" si="4">IF(C20="","",IF(AND(T$9&lt;=H20,T$9+6&gt;=G20),1,""))</x:f>
      </x:c>
      <x:c r="U20" s="12" t="str">
        <x:f t="shared" ref="U20:AD29" si="5">IF(C20="","",IF(AND(U$9&lt;=H20,U$9+6&gt;=G20),1,""))</x:f>
      </x:c>
      <x:c r="V20" s="13" t="str">
        <x:f t="shared" si="5">IF(C20="","",IF(AND(V$9&lt;=H20,V$9+6&gt;=G20),1,""))</x:f>
      </x:c>
      <x:c r="W20" s="12" t="str">
        <x:f t="shared" si="5">IF(C20="","",IF(AND(W$9&lt;=H20,W$9+6&gt;=G20),1,""))</x:f>
      </x:c>
      <x:c r="X20" s="13" t="str">
        <x:f t="shared" si="5">IF(C20="","",IF(AND(X$9&lt;=H20,X$9+6&gt;=G20),1,""))</x:f>
      </x:c>
      <x:c r="Y20" s="12" t="str">
        <x:f t="shared" si="5">IF(C20="","",IF(AND(Y$9&lt;=H20,Y$9+6&gt;=G20),1,""))</x:f>
      </x:c>
      <x:c r="Z20" s="13" t="str">
        <x:f t="shared" si="5">IF(C20="","",IF(AND(Z$9&lt;=H20,Z$9+6&gt;=G20),1,""))</x:f>
      </x:c>
      <x:c r="AA20" s="12" t="str">
        <x:f t="shared" si="5">IF(C20="","",IF(AND(AA$9&lt;=H20,AA$9+6&gt;=G20),1,""))</x:f>
      </x:c>
      <x:c r="AB20" s="13" t="str">
        <x:f t="shared" si="5">IF(C20="","",IF(AND(AB$9&lt;=H20,AB$9+6&gt;=G20),1,""))</x:f>
      </x:c>
      <x:c r="AC20" s="12" t="str">
        <x:f t="shared" si="5">IF(C20="","",IF(AND(AC$9&lt;=H20,AC$9+6&gt;=G20),1,""))</x:f>
      </x:c>
      <x:c r="AD20" s="13" t="str">
        <x:f t="shared" si="5">IF(C20="","",IF(AND(AD$9&lt;=H20,AD$9+6&gt;=G20),1,""))</x:f>
      </x:c>
    </x:row>
    <x:row r="21" ht="26" customHeight="1">
      <x:c r="B21" s="101" t="str">
        <x:f>IF(C21="","",12)</x:f>
      </x:c>
      <x:c r="C21" s="107" t="str">
        <x:f>IF(SUM('課題入力'!$H$6:$H$205)&lt;12,"",INDEX('課題入力'!$A$6:$A$205,MATCH(SMALL('課題入力'!$G$6:$G$205,12),'課題入力'!$G$6:$G$205,0)))</x:f>
      </x:c>
      <x:c r="D21" s="108" t="str">
        <x:f>IF(SUM('課題入力'!$H$6:$H$205)&lt;12,"",INDEX('課題入力'!$C$6:$C$205,MATCH(SMALL('課題入力'!$G$6:$G$205,12),'課題入力'!$G$6:$G$205,0)))</x:f>
      </x:c>
      <x:c r="E21" s="108" t="str">
        <x:f>IF(SUM('課題入力'!$H$6:$H$205)&lt;12,"",INDEX('課題入力'!$E$6:$E$205,MATCH(SMALL('課題入力'!$G$6:$G$205,12),'課題入力'!$G$6:$G$205,0)))</x:f>
      </x:c>
      <x:c r="F21" s="108" t="str">
        <x:f>IF(C21="","",IF(H21&lt;'今日の3件'!$C$5,"相談","取り組む"))</x:f>
      </x:c>
      <x:c r="G21" s="104" t="str">
        <x:f>IF(C21="","",$H$6)</x:f>
      </x:c>
      <x:c r="H21" s="104" t="str">
        <x:f>IF(SUM('課題入力'!$H$6:$H$205)&lt;12,"",INDEX('課題入力'!$B$6:$B$205,MATCH(SMALL('課題入力'!$G$6:$G$205,12),'課題入力'!$G$6:$G$205,0)))</x:f>
      </x:c>
      <x:c r="I21" s="100" t="str">
        <x:f t="shared" si="1">IF(C21="","",H21-'今日の3件'!$C$5)</x:f>
      </x:c>
      <x:c r="J21" s="74"/>
      <x:c r="K21" s="12" t="str">
        <x:f t="shared" si="4">IF(C21="","",IF(AND(K$9&lt;=H21,K$9+6&gt;=G21),1,""))</x:f>
      </x:c>
      <x:c r="L21" s="13" t="str">
        <x:f t="shared" si="4">IF(C21="","",IF(AND(L$9&lt;=H21,L$9+6&gt;=G21),1,""))</x:f>
      </x:c>
      <x:c r="M21" s="12" t="str">
        <x:f t="shared" si="4">IF(C21="","",IF(AND(M$9&lt;=H21,M$9+6&gt;=G21),1,""))</x:f>
      </x:c>
      <x:c r="N21" s="13" t="str">
        <x:f t="shared" si="4">IF(C21="","",IF(AND(N$9&lt;=H21,N$9+6&gt;=G21),1,""))</x:f>
      </x:c>
      <x:c r="O21" s="12" t="str">
        <x:f t="shared" si="4">IF(C21="","",IF(AND(O$9&lt;=H21,O$9+6&gt;=G21),1,""))</x:f>
      </x:c>
      <x:c r="P21" s="13" t="str">
        <x:f t="shared" si="4">IF(C21="","",IF(AND(P$9&lt;=H21,P$9+6&gt;=G21),1,""))</x:f>
      </x:c>
      <x:c r="Q21" s="12" t="str">
        <x:f t="shared" si="4">IF(C21="","",IF(AND(Q$9&lt;=H21,Q$9+6&gt;=G21),1,""))</x:f>
      </x:c>
      <x:c r="R21" s="13" t="str">
        <x:f t="shared" si="4">IF(C21="","",IF(AND(R$9&lt;=H21,R$9+6&gt;=G21),1,""))</x:f>
      </x:c>
      <x:c r="S21" s="12" t="str">
        <x:f t="shared" si="4">IF(C21="","",IF(AND(S$9&lt;=H21,S$9+6&gt;=G21),1,""))</x:f>
      </x:c>
      <x:c r="T21" s="13" t="str">
        <x:f t="shared" si="4">IF(C21="","",IF(AND(T$9&lt;=H21,T$9+6&gt;=G21),1,""))</x:f>
      </x:c>
      <x:c r="U21" s="12" t="str">
        <x:f t="shared" si="5">IF(C21="","",IF(AND(U$9&lt;=H21,U$9+6&gt;=G21),1,""))</x:f>
      </x:c>
      <x:c r="V21" s="13" t="str">
        <x:f t="shared" si="5">IF(C21="","",IF(AND(V$9&lt;=H21,V$9+6&gt;=G21),1,""))</x:f>
      </x:c>
      <x:c r="W21" s="12" t="str">
        <x:f t="shared" si="5">IF(C21="","",IF(AND(W$9&lt;=H21,W$9+6&gt;=G21),1,""))</x:f>
      </x:c>
      <x:c r="X21" s="13" t="str">
        <x:f t="shared" si="5">IF(C21="","",IF(AND(X$9&lt;=H21,X$9+6&gt;=G21),1,""))</x:f>
      </x:c>
      <x:c r="Y21" s="12" t="str">
        <x:f t="shared" si="5">IF(C21="","",IF(AND(Y$9&lt;=H21,Y$9+6&gt;=G21),1,""))</x:f>
      </x:c>
      <x:c r="Z21" s="13" t="str">
        <x:f t="shared" si="5">IF(C21="","",IF(AND(Z$9&lt;=H21,Z$9+6&gt;=G21),1,""))</x:f>
      </x:c>
      <x:c r="AA21" s="12" t="str">
        <x:f t="shared" si="5">IF(C21="","",IF(AND(AA$9&lt;=H21,AA$9+6&gt;=G21),1,""))</x:f>
      </x:c>
      <x:c r="AB21" s="13" t="str">
        <x:f t="shared" si="5">IF(C21="","",IF(AND(AB$9&lt;=H21,AB$9+6&gt;=G21),1,""))</x:f>
      </x:c>
      <x:c r="AC21" s="12" t="str">
        <x:f t="shared" si="5">IF(C21="","",IF(AND(AC$9&lt;=H21,AC$9+6&gt;=G21),1,""))</x:f>
      </x:c>
      <x:c r="AD21" s="13" t="str">
        <x:f t="shared" si="5">IF(C21="","",IF(AND(AD$9&lt;=H21,AD$9+6&gt;=G21),1,""))</x:f>
      </x:c>
    </x:row>
    <x:row r="22" ht="26" customHeight="1">
      <x:c r="B22" s="96" t="str">
        <x:f>IF(C22="","",13)</x:f>
      </x:c>
      <x:c r="C22" s="105" t="str">
        <x:f>IF(SUM('課題入力'!$H$6:$H$205)&lt;13,"",INDEX('課題入力'!$A$6:$A$205,MATCH(SMALL('課題入力'!$G$6:$G$205,13),'課題入力'!$G$6:$G$205,0)))</x:f>
      </x:c>
      <x:c r="D22" s="106" t="str">
        <x:f>IF(SUM('課題入力'!$H$6:$H$205)&lt;13,"",INDEX('課題入力'!$C$6:$C$205,MATCH(SMALL('課題入力'!$G$6:$G$205,13),'課題入力'!$G$6:$G$205,0)))</x:f>
      </x:c>
      <x:c r="E22" s="106" t="str">
        <x:f>IF(SUM('課題入力'!$H$6:$H$205)&lt;13,"",INDEX('課題入力'!$E$6:$E$205,MATCH(SMALL('課題入力'!$G$6:$G$205,13),'課題入力'!$G$6:$G$205,0)))</x:f>
      </x:c>
      <x:c r="F22" s="106" t="str">
        <x:f>IF(C22="","",IF(H22&lt;'今日の3件'!$C$5,"相談","取り組む"))</x:f>
      </x:c>
      <x:c r="G22" s="99" t="str">
        <x:f>IF(C22="","",$H$6)</x:f>
      </x:c>
      <x:c r="H22" s="99" t="str">
        <x:f>IF(SUM('課題入力'!$H$6:$H$205)&lt;13,"",INDEX('課題入力'!$B$6:$B$205,MATCH(SMALL('課題入力'!$G$6:$G$205,13),'課題入力'!$G$6:$G$205,0)))</x:f>
      </x:c>
      <x:c r="I22" s="100" t="str">
        <x:f t="shared" si="1">IF(C22="","",H22-'今日の3件'!$C$5)</x:f>
      </x:c>
      <x:c r="J22" s="74"/>
      <x:c r="K22" s="12" t="str">
        <x:f t="shared" si="4">IF(C22="","",IF(AND(K$9&lt;=H22,K$9+6&gt;=G22),1,""))</x:f>
      </x:c>
      <x:c r="L22" s="13" t="str">
        <x:f t="shared" si="4">IF(C22="","",IF(AND(L$9&lt;=H22,L$9+6&gt;=G22),1,""))</x:f>
      </x:c>
      <x:c r="M22" s="12" t="str">
        <x:f t="shared" si="4">IF(C22="","",IF(AND(M$9&lt;=H22,M$9+6&gt;=G22),1,""))</x:f>
      </x:c>
      <x:c r="N22" s="13" t="str">
        <x:f t="shared" si="4">IF(C22="","",IF(AND(N$9&lt;=H22,N$9+6&gt;=G22),1,""))</x:f>
      </x:c>
      <x:c r="O22" s="12" t="str">
        <x:f t="shared" si="4">IF(C22="","",IF(AND(O$9&lt;=H22,O$9+6&gt;=G22),1,""))</x:f>
      </x:c>
      <x:c r="P22" s="13" t="str">
        <x:f t="shared" si="4">IF(C22="","",IF(AND(P$9&lt;=H22,P$9+6&gt;=G22),1,""))</x:f>
      </x:c>
      <x:c r="Q22" s="12" t="str">
        <x:f t="shared" si="4">IF(C22="","",IF(AND(Q$9&lt;=H22,Q$9+6&gt;=G22),1,""))</x:f>
      </x:c>
      <x:c r="R22" s="13" t="str">
        <x:f t="shared" si="4">IF(C22="","",IF(AND(R$9&lt;=H22,R$9+6&gt;=G22),1,""))</x:f>
      </x:c>
      <x:c r="S22" s="12" t="str">
        <x:f t="shared" si="4">IF(C22="","",IF(AND(S$9&lt;=H22,S$9+6&gt;=G22),1,""))</x:f>
      </x:c>
      <x:c r="T22" s="13" t="str">
        <x:f t="shared" si="4">IF(C22="","",IF(AND(T$9&lt;=H22,T$9+6&gt;=G22),1,""))</x:f>
      </x:c>
      <x:c r="U22" s="12" t="str">
        <x:f t="shared" si="5">IF(C22="","",IF(AND(U$9&lt;=H22,U$9+6&gt;=G22),1,""))</x:f>
      </x:c>
      <x:c r="V22" s="13" t="str">
        <x:f t="shared" si="5">IF(C22="","",IF(AND(V$9&lt;=H22,V$9+6&gt;=G22),1,""))</x:f>
      </x:c>
      <x:c r="W22" s="12" t="str">
        <x:f t="shared" si="5">IF(C22="","",IF(AND(W$9&lt;=H22,W$9+6&gt;=G22),1,""))</x:f>
      </x:c>
      <x:c r="X22" s="13" t="str">
        <x:f t="shared" si="5">IF(C22="","",IF(AND(X$9&lt;=H22,X$9+6&gt;=G22),1,""))</x:f>
      </x:c>
      <x:c r="Y22" s="12" t="str">
        <x:f t="shared" si="5">IF(C22="","",IF(AND(Y$9&lt;=H22,Y$9+6&gt;=G22),1,""))</x:f>
      </x:c>
      <x:c r="Z22" s="13" t="str">
        <x:f t="shared" si="5">IF(C22="","",IF(AND(Z$9&lt;=H22,Z$9+6&gt;=G22),1,""))</x:f>
      </x:c>
      <x:c r="AA22" s="12" t="str">
        <x:f t="shared" si="5">IF(C22="","",IF(AND(AA$9&lt;=H22,AA$9+6&gt;=G22),1,""))</x:f>
      </x:c>
      <x:c r="AB22" s="13" t="str">
        <x:f t="shared" si="5">IF(C22="","",IF(AND(AB$9&lt;=H22,AB$9+6&gt;=G22),1,""))</x:f>
      </x:c>
      <x:c r="AC22" s="12" t="str">
        <x:f t="shared" si="5">IF(C22="","",IF(AND(AC$9&lt;=H22,AC$9+6&gt;=G22),1,""))</x:f>
      </x:c>
      <x:c r="AD22" s="13" t="str">
        <x:f t="shared" si="5">IF(C22="","",IF(AND(AD$9&lt;=H22,AD$9+6&gt;=G22),1,""))</x:f>
      </x:c>
    </x:row>
    <x:row r="23" ht="26" customHeight="1">
      <x:c r="B23" s="101" t="str">
        <x:f>IF(C23="","",14)</x:f>
      </x:c>
      <x:c r="C23" s="107" t="str">
        <x:f>IF(SUM('課題入力'!$H$6:$H$205)&lt;14,"",INDEX('課題入力'!$A$6:$A$205,MATCH(SMALL('課題入力'!$G$6:$G$205,14),'課題入力'!$G$6:$G$205,0)))</x:f>
      </x:c>
      <x:c r="D23" s="108" t="str">
        <x:f>IF(SUM('課題入力'!$H$6:$H$205)&lt;14,"",INDEX('課題入力'!$C$6:$C$205,MATCH(SMALL('課題入力'!$G$6:$G$205,14),'課題入力'!$G$6:$G$205,0)))</x:f>
      </x:c>
      <x:c r="E23" s="108" t="str">
        <x:f>IF(SUM('課題入力'!$H$6:$H$205)&lt;14,"",INDEX('課題入力'!$E$6:$E$205,MATCH(SMALL('課題入力'!$G$6:$G$205,14),'課題入力'!$G$6:$G$205,0)))</x:f>
      </x:c>
      <x:c r="F23" s="108" t="str">
        <x:f>IF(C23="","",IF(H23&lt;'今日の3件'!$C$5,"相談","取り組む"))</x:f>
      </x:c>
      <x:c r="G23" s="104" t="str">
        <x:f>IF(C23="","",$H$6)</x:f>
      </x:c>
      <x:c r="H23" s="104" t="str">
        <x:f>IF(SUM('課題入力'!$H$6:$H$205)&lt;14,"",INDEX('課題入力'!$B$6:$B$205,MATCH(SMALL('課題入力'!$G$6:$G$205,14),'課題入力'!$G$6:$G$205,0)))</x:f>
      </x:c>
      <x:c r="I23" s="100" t="str">
        <x:f t="shared" si="1">IF(C23="","",H23-'今日の3件'!$C$5)</x:f>
      </x:c>
      <x:c r="J23" s="74"/>
      <x:c r="K23" s="12" t="str">
        <x:f t="shared" si="4">IF(C23="","",IF(AND(K$9&lt;=H23,K$9+6&gt;=G23),1,""))</x:f>
      </x:c>
      <x:c r="L23" s="13" t="str">
        <x:f t="shared" si="4">IF(C23="","",IF(AND(L$9&lt;=H23,L$9+6&gt;=G23),1,""))</x:f>
      </x:c>
      <x:c r="M23" s="12" t="str">
        <x:f t="shared" si="4">IF(C23="","",IF(AND(M$9&lt;=H23,M$9+6&gt;=G23),1,""))</x:f>
      </x:c>
      <x:c r="N23" s="13" t="str">
        <x:f t="shared" si="4">IF(C23="","",IF(AND(N$9&lt;=H23,N$9+6&gt;=G23),1,""))</x:f>
      </x:c>
      <x:c r="O23" s="12" t="str">
        <x:f t="shared" si="4">IF(C23="","",IF(AND(O$9&lt;=H23,O$9+6&gt;=G23),1,""))</x:f>
      </x:c>
      <x:c r="P23" s="13" t="str">
        <x:f t="shared" si="4">IF(C23="","",IF(AND(P$9&lt;=H23,P$9+6&gt;=G23),1,""))</x:f>
      </x:c>
      <x:c r="Q23" s="12" t="str">
        <x:f t="shared" si="4">IF(C23="","",IF(AND(Q$9&lt;=H23,Q$9+6&gt;=G23),1,""))</x:f>
      </x:c>
      <x:c r="R23" s="13" t="str">
        <x:f t="shared" si="4">IF(C23="","",IF(AND(R$9&lt;=H23,R$9+6&gt;=G23),1,""))</x:f>
      </x:c>
      <x:c r="S23" s="12" t="str">
        <x:f t="shared" si="4">IF(C23="","",IF(AND(S$9&lt;=H23,S$9+6&gt;=G23),1,""))</x:f>
      </x:c>
      <x:c r="T23" s="13" t="str">
        <x:f t="shared" si="4">IF(C23="","",IF(AND(T$9&lt;=H23,T$9+6&gt;=G23),1,""))</x:f>
      </x:c>
      <x:c r="U23" s="12" t="str">
        <x:f t="shared" si="5">IF(C23="","",IF(AND(U$9&lt;=H23,U$9+6&gt;=G23),1,""))</x:f>
      </x:c>
      <x:c r="V23" s="13" t="str">
        <x:f t="shared" si="5">IF(C23="","",IF(AND(V$9&lt;=H23,V$9+6&gt;=G23),1,""))</x:f>
      </x:c>
      <x:c r="W23" s="12" t="str">
        <x:f t="shared" si="5">IF(C23="","",IF(AND(W$9&lt;=H23,W$9+6&gt;=G23),1,""))</x:f>
      </x:c>
      <x:c r="X23" s="13" t="str">
        <x:f t="shared" si="5">IF(C23="","",IF(AND(X$9&lt;=H23,X$9+6&gt;=G23),1,""))</x:f>
      </x:c>
      <x:c r="Y23" s="12" t="str">
        <x:f t="shared" si="5">IF(C23="","",IF(AND(Y$9&lt;=H23,Y$9+6&gt;=G23),1,""))</x:f>
      </x:c>
      <x:c r="Z23" s="13" t="str">
        <x:f t="shared" si="5">IF(C23="","",IF(AND(Z$9&lt;=H23,Z$9+6&gt;=G23),1,""))</x:f>
      </x:c>
      <x:c r="AA23" s="12" t="str">
        <x:f t="shared" si="5">IF(C23="","",IF(AND(AA$9&lt;=H23,AA$9+6&gt;=G23),1,""))</x:f>
      </x:c>
      <x:c r="AB23" s="13" t="str">
        <x:f t="shared" si="5">IF(C23="","",IF(AND(AB$9&lt;=H23,AB$9+6&gt;=G23),1,""))</x:f>
      </x:c>
      <x:c r="AC23" s="12" t="str">
        <x:f t="shared" si="5">IF(C23="","",IF(AND(AC$9&lt;=H23,AC$9+6&gt;=G23),1,""))</x:f>
      </x:c>
      <x:c r="AD23" s="13" t="str">
        <x:f t="shared" si="5">IF(C23="","",IF(AND(AD$9&lt;=H23,AD$9+6&gt;=G23),1,""))</x:f>
      </x:c>
    </x:row>
    <x:row r="24" ht="26" customHeight="1">
      <x:c r="B24" s="96" t="str">
        <x:f>IF(C24="","",15)</x:f>
      </x:c>
      <x:c r="C24" s="105" t="str">
        <x:f>IF(SUM('課題入力'!$H$6:$H$205)&lt;15,"",INDEX('課題入力'!$A$6:$A$205,MATCH(SMALL('課題入力'!$G$6:$G$205,15),'課題入力'!$G$6:$G$205,0)))</x:f>
      </x:c>
      <x:c r="D24" s="106" t="str">
        <x:f>IF(SUM('課題入力'!$H$6:$H$205)&lt;15,"",INDEX('課題入力'!$C$6:$C$205,MATCH(SMALL('課題入力'!$G$6:$G$205,15),'課題入力'!$G$6:$G$205,0)))</x:f>
      </x:c>
      <x:c r="E24" s="106" t="str">
        <x:f>IF(SUM('課題入力'!$H$6:$H$205)&lt;15,"",INDEX('課題入力'!$E$6:$E$205,MATCH(SMALL('課題入力'!$G$6:$G$205,15),'課題入力'!$G$6:$G$205,0)))</x:f>
      </x:c>
      <x:c r="F24" s="106" t="str">
        <x:f>IF(C24="","",IF(H24&lt;'今日の3件'!$C$5,"相談","取り組む"))</x:f>
      </x:c>
      <x:c r="G24" s="99" t="str">
        <x:f>IF(C24="","",$H$6)</x:f>
      </x:c>
      <x:c r="H24" s="99" t="str">
        <x:f>IF(SUM('課題入力'!$H$6:$H$205)&lt;15,"",INDEX('課題入力'!$B$6:$B$205,MATCH(SMALL('課題入力'!$G$6:$G$205,15),'課題入力'!$G$6:$G$205,0)))</x:f>
      </x:c>
      <x:c r="I24" s="100" t="str">
        <x:f t="shared" si="1">IF(C24="","",H24-'今日の3件'!$C$5)</x:f>
      </x:c>
      <x:c r="J24" s="74"/>
      <x:c r="K24" s="12" t="str">
        <x:f t="shared" si="4">IF(C24="","",IF(AND(K$9&lt;=H24,K$9+6&gt;=G24),1,""))</x:f>
      </x:c>
      <x:c r="L24" s="13" t="str">
        <x:f t="shared" si="4">IF(C24="","",IF(AND(L$9&lt;=H24,L$9+6&gt;=G24),1,""))</x:f>
      </x:c>
      <x:c r="M24" s="12" t="str">
        <x:f t="shared" si="4">IF(C24="","",IF(AND(M$9&lt;=H24,M$9+6&gt;=G24),1,""))</x:f>
      </x:c>
      <x:c r="N24" s="13" t="str">
        <x:f t="shared" si="4">IF(C24="","",IF(AND(N$9&lt;=H24,N$9+6&gt;=G24),1,""))</x:f>
      </x:c>
      <x:c r="O24" s="12" t="str">
        <x:f t="shared" si="4">IF(C24="","",IF(AND(O$9&lt;=H24,O$9+6&gt;=G24),1,""))</x:f>
      </x:c>
      <x:c r="P24" s="13" t="str">
        <x:f t="shared" si="4">IF(C24="","",IF(AND(P$9&lt;=H24,P$9+6&gt;=G24),1,""))</x:f>
      </x:c>
      <x:c r="Q24" s="12" t="str">
        <x:f t="shared" si="4">IF(C24="","",IF(AND(Q$9&lt;=H24,Q$9+6&gt;=G24),1,""))</x:f>
      </x:c>
      <x:c r="R24" s="13" t="str">
        <x:f t="shared" si="4">IF(C24="","",IF(AND(R$9&lt;=H24,R$9+6&gt;=G24),1,""))</x:f>
      </x:c>
      <x:c r="S24" s="12" t="str">
        <x:f t="shared" si="4">IF(C24="","",IF(AND(S$9&lt;=H24,S$9+6&gt;=G24),1,""))</x:f>
      </x:c>
      <x:c r="T24" s="13" t="str">
        <x:f t="shared" si="4">IF(C24="","",IF(AND(T$9&lt;=H24,T$9+6&gt;=G24),1,""))</x:f>
      </x:c>
      <x:c r="U24" s="12" t="str">
        <x:f t="shared" si="5">IF(C24="","",IF(AND(U$9&lt;=H24,U$9+6&gt;=G24),1,""))</x:f>
      </x:c>
      <x:c r="V24" s="13" t="str">
        <x:f t="shared" si="5">IF(C24="","",IF(AND(V$9&lt;=H24,V$9+6&gt;=G24),1,""))</x:f>
      </x:c>
      <x:c r="W24" s="12" t="str">
        <x:f t="shared" si="5">IF(C24="","",IF(AND(W$9&lt;=H24,W$9+6&gt;=G24),1,""))</x:f>
      </x:c>
      <x:c r="X24" s="13" t="str">
        <x:f t="shared" si="5">IF(C24="","",IF(AND(X$9&lt;=H24,X$9+6&gt;=G24),1,""))</x:f>
      </x:c>
      <x:c r="Y24" s="12" t="str">
        <x:f t="shared" si="5">IF(C24="","",IF(AND(Y$9&lt;=H24,Y$9+6&gt;=G24),1,""))</x:f>
      </x:c>
      <x:c r="Z24" s="13" t="str">
        <x:f t="shared" si="5">IF(C24="","",IF(AND(Z$9&lt;=H24,Z$9+6&gt;=G24),1,""))</x:f>
      </x:c>
      <x:c r="AA24" s="12" t="str">
        <x:f t="shared" si="5">IF(C24="","",IF(AND(AA$9&lt;=H24,AA$9+6&gt;=G24),1,""))</x:f>
      </x:c>
      <x:c r="AB24" s="13" t="str">
        <x:f t="shared" si="5">IF(C24="","",IF(AND(AB$9&lt;=H24,AB$9+6&gt;=G24),1,""))</x:f>
      </x:c>
      <x:c r="AC24" s="12" t="str">
        <x:f t="shared" si="5">IF(C24="","",IF(AND(AC$9&lt;=H24,AC$9+6&gt;=G24),1,""))</x:f>
      </x:c>
      <x:c r="AD24" s="13" t="str">
        <x:f t="shared" si="5">IF(C24="","",IF(AND(AD$9&lt;=H24,AD$9+6&gt;=G24),1,""))</x:f>
      </x:c>
    </x:row>
    <x:row r="25" ht="26" customHeight="1">
      <x:c r="B25" s="101" t="str">
        <x:f>IF(C25="","",16)</x:f>
      </x:c>
      <x:c r="C25" s="107" t="str">
        <x:f>IF(SUM('課題入力'!$H$6:$H$205)&lt;16,"",INDEX('課題入力'!$A$6:$A$205,MATCH(SMALL('課題入力'!$G$6:$G$205,16),'課題入力'!$G$6:$G$205,0)))</x:f>
      </x:c>
      <x:c r="D25" s="108" t="str">
        <x:f>IF(SUM('課題入力'!$H$6:$H$205)&lt;16,"",INDEX('課題入力'!$C$6:$C$205,MATCH(SMALL('課題入力'!$G$6:$G$205,16),'課題入力'!$G$6:$G$205,0)))</x:f>
      </x:c>
      <x:c r="E25" s="108" t="str">
        <x:f>IF(SUM('課題入力'!$H$6:$H$205)&lt;16,"",INDEX('課題入力'!$E$6:$E$205,MATCH(SMALL('課題入力'!$G$6:$G$205,16),'課題入力'!$G$6:$G$205,0)))</x:f>
      </x:c>
      <x:c r="F25" s="108" t="str">
        <x:f>IF(C25="","",IF(H25&lt;'今日の3件'!$C$5,"相談","取り組む"))</x:f>
      </x:c>
      <x:c r="G25" s="104" t="str">
        <x:f>IF(C25="","",$H$6)</x:f>
      </x:c>
      <x:c r="H25" s="104" t="str">
        <x:f>IF(SUM('課題入力'!$H$6:$H$205)&lt;16,"",INDEX('課題入力'!$B$6:$B$205,MATCH(SMALL('課題入力'!$G$6:$G$205,16),'課題入力'!$G$6:$G$205,0)))</x:f>
      </x:c>
      <x:c r="I25" s="100" t="str">
        <x:f t="shared" si="1">IF(C25="","",H25-'今日の3件'!$C$5)</x:f>
      </x:c>
      <x:c r="J25" s="74"/>
      <x:c r="K25" s="12" t="str">
        <x:f t="shared" si="4">IF(C25="","",IF(AND(K$9&lt;=H25,K$9+6&gt;=G25),1,""))</x:f>
      </x:c>
      <x:c r="L25" s="13" t="str">
        <x:f t="shared" si="4">IF(C25="","",IF(AND(L$9&lt;=H25,L$9+6&gt;=G25),1,""))</x:f>
      </x:c>
      <x:c r="M25" s="12" t="str">
        <x:f t="shared" si="4">IF(C25="","",IF(AND(M$9&lt;=H25,M$9+6&gt;=G25),1,""))</x:f>
      </x:c>
      <x:c r="N25" s="13" t="str">
        <x:f t="shared" si="4">IF(C25="","",IF(AND(N$9&lt;=H25,N$9+6&gt;=G25),1,""))</x:f>
      </x:c>
      <x:c r="O25" s="12" t="str">
        <x:f t="shared" si="4">IF(C25="","",IF(AND(O$9&lt;=H25,O$9+6&gt;=G25),1,""))</x:f>
      </x:c>
      <x:c r="P25" s="13" t="str">
        <x:f t="shared" si="4">IF(C25="","",IF(AND(P$9&lt;=H25,P$9+6&gt;=G25),1,""))</x:f>
      </x:c>
      <x:c r="Q25" s="12" t="str">
        <x:f t="shared" si="4">IF(C25="","",IF(AND(Q$9&lt;=H25,Q$9+6&gt;=G25),1,""))</x:f>
      </x:c>
      <x:c r="R25" s="13" t="str">
        <x:f t="shared" si="4">IF(C25="","",IF(AND(R$9&lt;=H25,R$9+6&gt;=G25),1,""))</x:f>
      </x:c>
      <x:c r="S25" s="12" t="str">
        <x:f t="shared" si="4">IF(C25="","",IF(AND(S$9&lt;=H25,S$9+6&gt;=G25),1,""))</x:f>
      </x:c>
      <x:c r="T25" s="13" t="str">
        <x:f t="shared" si="4">IF(C25="","",IF(AND(T$9&lt;=H25,T$9+6&gt;=G25),1,""))</x:f>
      </x:c>
      <x:c r="U25" s="12" t="str">
        <x:f t="shared" si="5">IF(C25="","",IF(AND(U$9&lt;=H25,U$9+6&gt;=G25),1,""))</x:f>
      </x:c>
      <x:c r="V25" s="13" t="str">
        <x:f t="shared" si="5">IF(C25="","",IF(AND(V$9&lt;=H25,V$9+6&gt;=G25),1,""))</x:f>
      </x:c>
      <x:c r="W25" s="12" t="str">
        <x:f t="shared" si="5">IF(C25="","",IF(AND(W$9&lt;=H25,W$9+6&gt;=G25),1,""))</x:f>
      </x:c>
      <x:c r="X25" s="13" t="str">
        <x:f t="shared" si="5">IF(C25="","",IF(AND(X$9&lt;=H25,X$9+6&gt;=G25),1,""))</x:f>
      </x:c>
      <x:c r="Y25" s="12" t="str">
        <x:f t="shared" si="5">IF(C25="","",IF(AND(Y$9&lt;=H25,Y$9+6&gt;=G25),1,""))</x:f>
      </x:c>
      <x:c r="Z25" s="13" t="str">
        <x:f t="shared" si="5">IF(C25="","",IF(AND(Z$9&lt;=H25,Z$9+6&gt;=G25),1,""))</x:f>
      </x:c>
      <x:c r="AA25" s="12" t="str">
        <x:f t="shared" si="5">IF(C25="","",IF(AND(AA$9&lt;=H25,AA$9+6&gt;=G25),1,""))</x:f>
      </x:c>
      <x:c r="AB25" s="13" t="str">
        <x:f t="shared" si="5">IF(C25="","",IF(AND(AB$9&lt;=H25,AB$9+6&gt;=G25),1,""))</x:f>
      </x:c>
      <x:c r="AC25" s="12" t="str">
        <x:f t="shared" si="5">IF(C25="","",IF(AND(AC$9&lt;=H25,AC$9+6&gt;=G25),1,""))</x:f>
      </x:c>
      <x:c r="AD25" s="13" t="str">
        <x:f t="shared" si="5">IF(C25="","",IF(AND(AD$9&lt;=H25,AD$9+6&gt;=G25),1,""))</x:f>
      </x:c>
    </x:row>
    <x:row r="26" ht="26" customHeight="1">
      <x:c r="B26" s="96" t="str">
        <x:f>IF(C26="","",17)</x:f>
      </x:c>
      <x:c r="C26" s="105" t="str">
        <x:f>IF(SUM('課題入力'!$H$6:$H$205)&lt;17,"",INDEX('課題入力'!$A$6:$A$205,MATCH(SMALL('課題入力'!$G$6:$G$205,17),'課題入力'!$G$6:$G$205,0)))</x:f>
      </x:c>
      <x:c r="D26" s="106" t="str">
        <x:f>IF(SUM('課題入力'!$H$6:$H$205)&lt;17,"",INDEX('課題入力'!$C$6:$C$205,MATCH(SMALL('課題入力'!$G$6:$G$205,17),'課題入力'!$G$6:$G$205,0)))</x:f>
      </x:c>
      <x:c r="E26" s="106" t="str">
        <x:f>IF(SUM('課題入力'!$H$6:$H$205)&lt;17,"",INDEX('課題入力'!$E$6:$E$205,MATCH(SMALL('課題入力'!$G$6:$G$205,17),'課題入力'!$G$6:$G$205,0)))</x:f>
      </x:c>
      <x:c r="F26" s="106" t="str">
        <x:f>IF(C26="","",IF(H26&lt;'今日の3件'!$C$5,"相談","取り組む"))</x:f>
      </x:c>
      <x:c r="G26" s="99" t="str">
        <x:f>IF(C26="","",$H$6)</x:f>
      </x:c>
      <x:c r="H26" s="99" t="str">
        <x:f>IF(SUM('課題入力'!$H$6:$H$205)&lt;17,"",INDEX('課題入力'!$B$6:$B$205,MATCH(SMALL('課題入力'!$G$6:$G$205,17),'課題入力'!$G$6:$G$205,0)))</x:f>
      </x:c>
      <x:c r="I26" s="100" t="str">
        <x:f t="shared" si="1">IF(C26="","",H26-'今日の3件'!$C$5)</x:f>
      </x:c>
      <x:c r="J26" s="74"/>
      <x:c r="K26" s="12" t="str">
        <x:f t="shared" si="4">IF(C26="","",IF(AND(K$9&lt;=H26,K$9+6&gt;=G26),1,""))</x:f>
      </x:c>
      <x:c r="L26" s="13" t="str">
        <x:f t="shared" si="4">IF(C26="","",IF(AND(L$9&lt;=H26,L$9+6&gt;=G26),1,""))</x:f>
      </x:c>
      <x:c r="M26" s="12" t="str">
        <x:f t="shared" si="4">IF(C26="","",IF(AND(M$9&lt;=H26,M$9+6&gt;=G26),1,""))</x:f>
      </x:c>
      <x:c r="N26" s="13" t="str">
        <x:f t="shared" si="4">IF(C26="","",IF(AND(N$9&lt;=H26,N$9+6&gt;=G26),1,""))</x:f>
      </x:c>
      <x:c r="O26" s="12" t="str">
        <x:f t="shared" si="4">IF(C26="","",IF(AND(O$9&lt;=H26,O$9+6&gt;=G26),1,""))</x:f>
      </x:c>
      <x:c r="P26" s="13" t="str">
        <x:f t="shared" si="4">IF(C26="","",IF(AND(P$9&lt;=H26,P$9+6&gt;=G26),1,""))</x:f>
      </x:c>
      <x:c r="Q26" s="12" t="str">
        <x:f t="shared" si="4">IF(C26="","",IF(AND(Q$9&lt;=H26,Q$9+6&gt;=G26),1,""))</x:f>
      </x:c>
      <x:c r="R26" s="13" t="str">
        <x:f t="shared" si="4">IF(C26="","",IF(AND(R$9&lt;=H26,R$9+6&gt;=G26),1,""))</x:f>
      </x:c>
      <x:c r="S26" s="12" t="str">
        <x:f t="shared" si="4">IF(C26="","",IF(AND(S$9&lt;=H26,S$9+6&gt;=G26),1,""))</x:f>
      </x:c>
      <x:c r="T26" s="13" t="str">
        <x:f t="shared" si="4">IF(C26="","",IF(AND(T$9&lt;=H26,T$9+6&gt;=G26),1,""))</x:f>
      </x:c>
      <x:c r="U26" s="12" t="str">
        <x:f t="shared" si="5">IF(C26="","",IF(AND(U$9&lt;=H26,U$9+6&gt;=G26),1,""))</x:f>
      </x:c>
      <x:c r="V26" s="13" t="str">
        <x:f t="shared" si="5">IF(C26="","",IF(AND(V$9&lt;=H26,V$9+6&gt;=G26),1,""))</x:f>
      </x:c>
      <x:c r="W26" s="12" t="str">
        <x:f t="shared" si="5">IF(C26="","",IF(AND(W$9&lt;=H26,W$9+6&gt;=G26),1,""))</x:f>
      </x:c>
      <x:c r="X26" s="13" t="str">
        <x:f t="shared" si="5">IF(C26="","",IF(AND(X$9&lt;=H26,X$9+6&gt;=G26),1,""))</x:f>
      </x:c>
      <x:c r="Y26" s="12" t="str">
        <x:f t="shared" si="5">IF(C26="","",IF(AND(Y$9&lt;=H26,Y$9+6&gt;=G26),1,""))</x:f>
      </x:c>
      <x:c r="Z26" s="13" t="str">
        <x:f t="shared" si="5">IF(C26="","",IF(AND(Z$9&lt;=H26,Z$9+6&gt;=G26),1,""))</x:f>
      </x:c>
      <x:c r="AA26" s="12" t="str">
        <x:f t="shared" si="5">IF(C26="","",IF(AND(AA$9&lt;=H26,AA$9+6&gt;=G26),1,""))</x:f>
      </x:c>
      <x:c r="AB26" s="13" t="str">
        <x:f t="shared" si="5">IF(C26="","",IF(AND(AB$9&lt;=H26,AB$9+6&gt;=G26),1,""))</x:f>
      </x:c>
      <x:c r="AC26" s="12" t="str">
        <x:f t="shared" si="5">IF(C26="","",IF(AND(AC$9&lt;=H26,AC$9+6&gt;=G26),1,""))</x:f>
      </x:c>
      <x:c r="AD26" s="13" t="str">
        <x:f t="shared" si="5">IF(C26="","",IF(AND(AD$9&lt;=H26,AD$9+6&gt;=G26),1,""))</x:f>
      </x:c>
    </x:row>
    <x:row r="27" ht="26" customHeight="1">
      <x:c r="B27" s="101" t="str">
        <x:f>IF(C27="","",18)</x:f>
      </x:c>
      <x:c r="C27" s="107" t="str">
        <x:f>IF(SUM('課題入力'!$H$6:$H$205)&lt;18,"",INDEX('課題入力'!$A$6:$A$205,MATCH(SMALL('課題入力'!$G$6:$G$205,18),'課題入力'!$G$6:$G$205,0)))</x:f>
      </x:c>
      <x:c r="D27" s="108" t="str">
        <x:f>IF(SUM('課題入力'!$H$6:$H$205)&lt;18,"",INDEX('課題入力'!$C$6:$C$205,MATCH(SMALL('課題入力'!$G$6:$G$205,18),'課題入力'!$G$6:$G$205,0)))</x:f>
      </x:c>
      <x:c r="E27" s="108" t="str">
        <x:f>IF(SUM('課題入力'!$H$6:$H$205)&lt;18,"",INDEX('課題入力'!$E$6:$E$205,MATCH(SMALL('課題入力'!$G$6:$G$205,18),'課題入力'!$G$6:$G$205,0)))</x:f>
      </x:c>
      <x:c r="F27" s="108" t="str">
        <x:f>IF(C27="","",IF(H27&lt;'今日の3件'!$C$5,"相談","取り組む"))</x:f>
      </x:c>
      <x:c r="G27" s="104" t="str">
        <x:f>IF(C27="","",$H$6)</x:f>
      </x:c>
      <x:c r="H27" s="104" t="str">
        <x:f>IF(SUM('課題入力'!$H$6:$H$205)&lt;18,"",INDEX('課題入力'!$B$6:$B$205,MATCH(SMALL('課題入力'!$G$6:$G$205,18),'課題入力'!$G$6:$G$205,0)))</x:f>
      </x:c>
      <x:c r="I27" s="100" t="str">
        <x:f t="shared" si="1">IF(C27="","",H27-'今日の3件'!$C$5)</x:f>
      </x:c>
      <x:c r="J27" s="74"/>
      <x:c r="K27" s="12" t="str">
        <x:f t="shared" si="4">IF(C27="","",IF(AND(K$9&lt;=H27,K$9+6&gt;=G27),1,""))</x:f>
      </x:c>
      <x:c r="L27" s="13" t="str">
        <x:f t="shared" si="4">IF(C27="","",IF(AND(L$9&lt;=H27,L$9+6&gt;=G27),1,""))</x:f>
      </x:c>
      <x:c r="M27" s="12" t="str">
        <x:f t="shared" si="4">IF(C27="","",IF(AND(M$9&lt;=H27,M$9+6&gt;=G27),1,""))</x:f>
      </x:c>
      <x:c r="N27" s="13" t="str">
        <x:f t="shared" si="4">IF(C27="","",IF(AND(N$9&lt;=H27,N$9+6&gt;=G27),1,""))</x:f>
      </x:c>
      <x:c r="O27" s="12" t="str">
        <x:f t="shared" si="4">IF(C27="","",IF(AND(O$9&lt;=H27,O$9+6&gt;=G27),1,""))</x:f>
      </x:c>
      <x:c r="P27" s="13" t="str">
        <x:f t="shared" si="4">IF(C27="","",IF(AND(P$9&lt;=H27,P$9+6&gt;=G27),1,""))</x:f>
      </x:c>
      <x:c r="Q27" s="12" t="str">
        <x:f t="shared" si="4">IF(C27="","",IF(AND(Q$9&lt;=H27,Q$9+6&gt;=G27),1,""))</x:f>
      </x:c>
      <x:c r="R27" s="13" t="str">
        <x:f t="shared" si="4">IF(C27="","",IF(AND(R$9&lt;=H27,R$9+6&gt;=G27),1,""))</x:f>
      </x:c>
      <x:c r="S27" s="12" t="str">
        <x:f t="shared" si="4">IF(C27="","",IF(AND(S$9&lt;=H27,S$9+6&gt;=G27),1,""))</x:f>
      </x:c>
      <x:c r="T27" s="13" t="str">
        <x:f t="shared" si="4">IF(C27="","",IF(AND(T$9&lt;=H27,T$9+6&gt;=G27),1,""))</x:f>
      </x:c>
      <x:c r="U27" s="12" t="str">
        <x:f t="shared" si="5">IF(C27="","",IF(AND(U$9&lt;=H27,U$9+6&gt;=G27),1,""))</x:f>
      </x:c>
      <x:c r="V27" s="13" t="str">
        <x:f t="shared" si="5">IF(C27="","",IF(AND(V$9&lt;=H27,V$9+6&gt;=G27),1,""))</x:f>
      </x:c>
      <x:c r="W27" s="12" t="str">
        <x:f t="shared" si="5">IF(C27="","",IF(AND(W$9&lt;=H27,W$9+6&gt;=G27),1,""))</x:f>
      </x:c>
      <x:c r="X27" s="13" t="str">
        <x:f t="shared" si="5">IF(C27="","",IF(AND(X$9&lt;=H27,X$9+6&gt;=G27),1,""))</x:f>
      </x:c>
      <x:c r="Y27" s="12" t="str">
        <x:f t="shared" si="5">IF(C27="","",IF(AND(Y$9&lt;=H27,Y$9+6&gt;=G27),1,""))</x:f>
      </x:c>
      <x:c r="Z27" s="13" t="str">
        <x:f t="shared" si="5">IF(C27="","",IF(AND(Z$9&lt;=H27,Z$9+6&gt;=G27),1,""))</x:f>
      </x:c>
      <x:c r="AA27" s="12" t="str">
        <x:f t="shared" si="5">IF(C27="","",IF(AND(AA$9&lt;=H27,AA$9+6&gt;=G27),1,""))</x:f>
      </x:c>
      <x:c r="AB27" s="13" t="str">
        <x:f t="shared" si="5">IF(C27="","",IF(AND(AB$9&lt;=H27,AB$9+6&gt;=G27),1,""))</x:f>
      </x:c>
      <x:c r="AC27" s="12" t="str">
        <x:f t="shared" si="5">IF(C27="","",IF(AND(AC$9&lt;=H27,AC$9+6&gt;=G27),1,""))</x:f>
      </x:c>
      <x:c r="AD27" s="13" t="str">
        <x:f t="shared" si="5">IF(C27="","",IF(AND(AD$9&lt;=H27,AD$9+6&gt;=G27),1,""))</x:f>
      </x:c>
    </x:row>
    <x:row r="28" ht="26" customHeight="1">
      <x:c r="B28" s="96" t="str">
        <x:f>IF(C28="","",19)</x:f>
      </x:c>
      <x:c r="C28" s="105" t="str">
        <x:f>IF(SUM('課題入力'!$H$6:$H$205)&lt;19,"",INDEX('課題入力'!$A$6:$A$205,MATCH(SMALL('課題入力'!$G$6:$G$205,19),'課題入力'!$G$6:$G$205,0)))</x:f>
      </x:c>
      <x:c r="D28" s="106" t="str">
        <x:f>IF(SUM('課題入力'!$H$6:$H$205)&lt;19,"",INDEX('課題入力'!$C$6:$C$205,MATCH(SMALL('課題入力'!$G$6:$G$205,19),'課題入力'!$G$6:$G$205,0)))</x:f>
      </x:c>
      <x:c r="E28" s="106" t="str">
        <x:f>IF(SUM('課題入力'!$H$6:$H$205)&lt;19,"",INDEX('課題入力'!$E$6:$E$205,MATCH(SMALL('課題入力'!$G$6:$G$205,19),'課題入力'!$G$6:$G$205,0)))</x:f>
      </x:c>
      <x:c r="F28" s="106" t="str">
        <x:f>IF(C28="","",IF(H28&lt;'今日の3件'!$C$5,"相談","取り組む"))</x:f>
      </x:c>
      <x:c r="G28" s="99" t="str">
        <x:f>IF(C28="","",$H$6)</x:f>
      </x:c>
      <x:c r="H28" s="99" t="str">
        <x:f>IF(SUM('課題入力'!$H$6:$H$205)&lt;19,"",INDEX('課題入力'!$B$6:$B$205,MATCH(SMALL('課題入力'!$G$6:$G$205,19),'課題入力'!$G$6:$G$205,0)))</x:f>
      </x:c>
      <x:c r="I28" s="100" t="str">
        <x:f t="shared" si="1">IF(C28="","",H28-'今日の3件'!$C$5)</x:f>
      </x:c>
      <x:c r="J28" s="74"/>
      <x:c r="K28" s="12" t="str">
        <x:f t="shared" si="4">IF(C28="","",IF(AND(K$9&lt;=H28,K$9+6&gt;=G28),1,""))</x:f>
      </x:c>
      <x:c r="L28" s="13" t="str">
        <x:f t="shared" si="4">IF(C28="","",IF(AND(L$9&lt;=H28,L$9+6&gt;=G28),1,""))</x:f>
      </x:c>
      <x:c r="M28" s="12" t="str">
        <x:f t="shared" si="4">IF(C28="","",IF(AND(M$9&lt;=H28,M$9+6&gt;=G28),1,""))</x:f>
      </x:c>
      <x:c r="N28" s="13" t="str">
        <x:f t="shared" si="4">IF(C28="","",IF(AND(N$9&lt;=H28,N$9+6&gt;=G28),1,""))</x:f>
      </x:c>
      <x:c r="O28" s="12" t="str">
        <x:f t="shared" si="4">IF(C28="","",IF(AND(O$9&lt;=H28,O$9+6&gt;=G28),1,""))</x:f>
      </x:c>
      <x:c r="P28" s="13" t="str">
        <x:f t="shared" si="4">IF(C28="","",IF(AND(P$9&lt;=H28,P$9+6&gt;=G28),1,""))</x:f>
      </x:c>
      <x:c r="Q28" s="12" t="str">
        <x:f t="shared" si="4">IF(C28="","",IF(AND(Q$9&lt;=H28,Q$9+6&gt;=G28),1,""))</x:f>
      </x:c>
      <x:c r="R28" s="13" t="str">
        <x:f t="shared" si="4">IF(C28="","",IF(AND(R$9&lt;=H28,R$9+6&gt;=G28),1,""))</x:f>
      </x:c>
      <x:c r="S28" s="12" t="str">
        <x:f t="shared" si="4">IF(C28="","",IF(AND(S$9&lt;=H28,S$9+6&gt;=G28),1,""))</x:f>
      </x:c>
      <x:c r="T28" s="13" t="str">
        <x:f t="shared" si="4">IF(C28="","",IF(AND(T$9&lt;=H28,T$9+6&gt;=G28),1,""))</x:f>
      </x:c>
      <x:c r="U28" s="12" t="str">
        <x:f t="shared" si="5">IF(C28="","",IF(AND(U$9&lt;=H28,U$9+6&gt;=G28),1,""))</x:f>
      </x:c>
      <x:c r="V28" s="13" t="str">
        <x:f t="shared" si="5">IF(C28="","",IF(AND(V$9&lt;=H28,V$9+6&gt;=G28),1,""))</x:f>
      </x:c>
      <x:c r="W28" s="12" t="str">
        <x:f t="shared" si="5">IF(C28="","",IF(AND(W$9&lt;=H28,W$9+6&gt;=G28),1,""))</x:f>
      </x:c>
      <x:c r="X28" s="13" t="str">
        <x:f t="shared" si="5">IF(C28="","",IF(AND(X$9&lt;=H28,X$9+6&gt;=G28),1,""))</x:f>
      </x:c>
      <x:c r="Y28" s="12" t="str">
        <x:f t="shared" si="5">IF(C28="","",IF(AND(Y$9&lt;=H28,Y$9+6&gt;=G28),1,""))</x:f>
      </x:c>
      <x:c r="Z28" s="13" t="str">
        <x:f t="shared" si="5">IF(C28="","",IF(AND(Z$9&lt;=H28,Z$9+6&gt;=G28),1,""))</x:f>
      </x:c>
      <x:c r="AA28" s="12" t="str">
        <x:f t="shared" si="5">IF(C28="","",IF(AND(AA$9&lt;=H28,AA$9+6&gt;=G28),1,""))</x:f>
      </x:c>
      <x:c r="AB28" s="13" t="str">
        <x:f t="shared" si="5">IF(C28="","",IF(AND(AB$9&lt;=H28,AB$9+6&gt;=G28),1,""))</x:f>
      </x:c>
      <x:c r="AC28" s="12" t="str">
        <x:f t="shared" si="5">IF(C28="","",IF(AND(AC$9&lt;=H28,AC$9+6&gt;=G28),1,""))</x:f>
      </x:c>
      <x:c r="AD28" s="13" t="str">
        <x:f t="shared" si="5">IF(C28="","",IF(AND(AD$9&lt;=H28,AD$9+6&gt;=G28),1,""))</x:f>
      </x:c>
    </x:row>
    <x:row r="29" ht="26" customHeight="1">
      <x:c r="B29" s="101" t="str">
        <x:f>IF(C29="","",20)</x:f>
      </x:c>
      <x:c r="C29" s="107" t="str">
        <x:f>IF(SUM('課題入力'!$H$6:$H$205)&lt;20,"",INDEX('課題入力'!$A$6:$A$205,MATCH(SMALL('課題入力'!$G$6:$G$205,20),'課題入力'!$G$6:$G$205,0)))</x:f>
      </x:c>
      <x:c r="D29" s="108" t="str">
        <x:f>IF(SUM('課題入力'!$H$6:$H$205)&lt;20,"",INDEX('課題入力'!$C$6:$C$205,MATCH(SMALL('課題入力'!$G$6:$G$205,20),'課題入力'!$G$6:$G$205,0)))</x:f>
      </x:c>
      <x:c r="E29" s="108" t="str">
        <x:f>IF(SUM('課題入力'!$H$6:$H$205)&lt;20,"",INDEX('課題入力'!$E$6:$E$205,MATCH(SMALL('課題入力'!$G$6:$G$205,20),'課題入力'!$G$6:$G$205,0)))</x:f>
      </x:c>
      <x:c r="F29" s="108" t="str">
        <x:f>IF(C29="","",IF(H29&lt;'今日の3件'!$C$5,"相談","取り組む"))</x:f>
      </x:c>
      <x:c r="G29" s="104" t="str">
        <x:f>IF(C29="","",$H$6)</x:f>
      </x:c>
      <x:c r="H29" s="104" t="str">
        <x:f>IF(SUM('課題入力'!$H$6:$H$205)&lt;20,"",INDEX('課題入力'!$B$6:$B$205,MATCH(SMALL('課題入力'!$G$6:$G$205,20),'課題入力'!$G$6:$G$205,0)))</x:f>
      </x:c>
      <x:c r="I29" s="100" t="str">
        <x:f t="shared" si="1">IF(C29="","",H29-'今日の3件'!$C$5)</x:f>
      </x:c>
      <x:c r="J29" s="74"/>
      <x:c r="K29" s="12" t="str">
        <x:f t="shared" si="4">IF(C29="","",IF(AND(K$9&lt;=H29,K$9+6&gt;=G29),1,""))</x:f>
      </x:c>
      <x:c r="L29" s="13" t="str">
        <x:f t="shared" si="4">IF(C29="","",IF(AND(L$9&lt;=H29,L$9+6&gt;=G29),1,""))</x:f>
      </x:c>
      <x:c r="M29" s="12" t="str">
        <x:f t="shared" si="4">IF(C29="","",IF(AND(M$9&lt;=H29,M$9+6&gt;=G29),1,""))</x:f>
      </x:c>
      <x:c r="N29" s="13" t="str">
        <x:f t="shared" si="4">IF(C29="","",IF(AND(N$9&lt;=H29,N$9+6&gt;=G29),1,""))</x:f>
      </x:c>
      <x:c r="O29" s="12" t="str">
        <x:f t="shared" si="4">IF(C29="","",IF(AND(O$9&lt;=H29,O$9+6&gt;=G29),1,""))</x:f>
      </x:c>
      <x:c r="P29" s="13" t="str">
        <x:f t="shared" si="4">IF(C29="","",IF(AND(P$9&lt;=H29,P$9+6&gt;=G29),1,""))</x:f>
      </x:c>
      <x:c r="Q29" s="12" t="str">
        <x:f t="shared" si="4">IF(C29="","",IF(AND(Q$9&lt;=H29,Q$9+6&gt;=G29),1,""))</x:f>
      </x:c>
      <x:c r="R29" s="13" t="str">
        <x:f t="shared" si="4">IF(C29="","",IF(AND(R$9&lt;=H29,R$9+6&gt;=G29),1,""))</x:f>
      </x:c>
      <x:c r="S29" s="12" t="str">
        <x:f t="shared" si="4">IF(C29="","",IF(AND(S$9&lt;=H29,S$9+6&gt;=G29),1,""))</x:f>
      </x:c>
      <x:c r="T29" s="13" t="str">
        <x:f t="shared" si="4">IF(C29="","",IF(AND(T$9&lt;=H29,T$9+6&gt;=G29),1,""))</x:f>
      </x:c>
      <x:c r="U29" s="12" t="str">
        <x:f t="shared" si="5">IF(C29="","",IF(AND(U$9&lt;=H29,U$9+6&gt;=G29),1,""))</x:f>
      </x:c>
      <x:c r="V29" s="13" t="str">
        <x:f t="shared" si="5">IF(C29="","",IF(AND(V$9&lt;=H29,V$9+6&gt;=G29),1,""))</x:f>
      </x:c>
      <x:c r="W29" s="12" t="str">
        <x:f t="shared" si="5">IF(C29="","",IF(AND(W$9&lt;=H29,W$9+6&gt;=G29),1,""))</x:f>
      </x:c>
      <x:c r="X29" s="13" t="str">
        <x:f t="shared" si="5">IF(C29="","",IF(AND(X$9&lt;=H29,X$9+6&gt;=G29),1,""))</x:f>
      </x:c>
      <x:c r="Y29" s="12" t="str">
        <x:f t="shared" si="5">IF(C29="","",IF(AND(Y$9&lt;=H29,Y$9+6&gt;=G29),1,""))</x:f>
      </x:c>
      <x:c r="Z29" s="13" t="str">
        <x:f t="shared" si="5">IF(C29="","",IF(AND(Z$9&lt;=H29,Z$9+6&gt;=G29),1,""))</x:f>
      </x:c>
      <x:c r="AA29" s="12" t="str">
        <x:f t="shared" si="5">IF(C29="","",IF(AND(AA$9&lt;=H29,AA$9+6&gt;=G29),1,""))</x:f>
      </x:c>
      <x:c r="AB29" s="13" t="str">
        <x:f t="shared" si="5">IF(C29="","",IF(AND(AB$9&lt;=H29,AB$9+6&gt;=G29),1,""))</x:f>
      </x:c>
      <x:c r="AC29" s="12" t="str">
        <x:f t="shared" si="5">IF(C29="","",IF(AND(AC$9&lt;=H29,AC$9+6&gt;=G29),1,""))</x:f>
      </x:c>
      <x:c r="AD29" s="13" t="str">
        <x:f t="shared" si="5">IF(C29="","",IF(AND(AD$9&lt;=H29,AD$9+6&gt;=G29),1,""))</x:f>
      </x:c>
    </x:row>
    <x:row r="30" ht="26" customHeight="1">
      <x:c r="B30" s="96" t="str">
        <x:f>IF(C30="","",21)</x:f>
      </x:c>
      <x:c r="C30" s="105" t="str">
        <x:f>IF(SUM('課題入力'!$H$6:$H$205)&lt;21,"",INDEX('課題入力'!$A$6:$A$205,MATCH(SMALL('課題入力'!$G$6:$G$205,21),'課題入力'!$G$6:$G$205,0)))</x:f>
      </x:c>
      <x:c r="D30" s="106" t="str">
        <x:f>IF(SUM('課題入力'!$H$6:$H$205)&lt;21,"",INDEX('課題入力'!$C$6:$C$205,MATCH(SMALL('課題入力'!$G$6:$G$205,21),'課題入力'!$G$6:$G$205,0)))</x:f>
      </x:c>
      <x:c r="E30" s="106" t="str">
        <x:f>IF(SUM('課題入力'!$H$6:$H$205)&lt;21,"",INDEX('課題入力'!$E$6:$E$205,MATCH(SMALL('課題入力'!$G$6:$G$205,21),'課題入力'!$G$6:$G$205,0)))</x:f>
      </x:c>
      <x:c r="F30" s="106" t="str">
        <x:f>IF(C30="","",IF(H30&lt;'今日の3件'!$C$5,"相談","取り組む"))</x:f>
      </x:c>
      <x:c r="G30" s="99" t="str">
        <x:f>IF(C30="","",$H$6)</x:f>
      </x:c>
      <x:c r="H30" s="99" t="str">
        <x:f>IF(SUM('課題入力'!$H$6:$H$205)&lt;21,"",INDEX('課題入力'!$B$6:$B$205,MATCH(SMALL('課題入力'!$G$6:$G$205,21),'課題入力'!$G$6:$G$205,0)))</x:f>
      </x:c>
      <x:c r="I30" s="100" t="str">
        <x:f t="shared" si="1">IF(C30="","",H30-'今日の3件'!$C$5)</x:f>
      </x:c>
      <x:c r="J30" s="74"/>
      <x:c r="K30" s="12" t="str">
        <x:f t="shared" ref="K30:T39" si="6">IF(C30="","",IF(AND(K$9&lt;=H30,K$9+6&gt;=G30),1,""))</x:f>
      </x:c>
      <x:c r="L30" s="13" t="str">
        <x:f t="shared" si="6">IF(C30="","",IF(AND(L$9&lt;=H30,L$9+6&gt;=G30),1,""))</x:f>
      </x:c>
      <x:c r="M30" s="12" t="str">
        <x:f t="shared" si="6">IF(C30="","",IF(AND(M$9&lt;=H30,M$9+6&gt;=G30),1,""))</x:f>
      </x:c>
      <x:c r="N30" s="13" t="str">
        <x:f t="shared" si="6">IF(C30="","",IF(AND(N$9&lt;=H30,N$9+6&gt;=G30),1,""))</x:f>
      </x:c>
      <x:c r="O30" s="12" t="str">
        <x:f t="shared" si="6">IF(C30="","",IF(AND(O$9&lt;=H30,O$9+6&gt;=G30),1,""))</x:f>
      </x:c>
      <x:c r="P30" s="13" t="str">
        <x:f t="shared" si="6">IF(C30="","",IF(AND(P$9&lt;=H30,P$9+6&gt;=G30),1,""))</x:f>
      </x:c>
      <x:c r="Q30" s="12" t="str">
        <x:f t="shared" si="6">IF(C30="","",IF(AND(Q$9&lt;=H30,Q$9+6&gt;=G30),1,""))</x:f>
      </x:c>
      <x:c r="R30" s="13" t="str">
        <x:f t="shared" si="6">IF(C30="","",IF(AND(R$9&lt;=H30,R$9+6&gt;=G30),1,""))</x:f>
      </x:c>
      <x:c r="S30" s="12" t="str">
        <x:f t="shared" si="6">IF(C30="","",IF(AND(S$9&lt;=H30,S$9+6&gt;=G30),1,""))</x:f>
      </x:c>
      <x:c r="T30" s="13" t="str">
        <x:f t="shared" si="6">IF(C30="","",IF(AND(T$9&lt;=H30,T$9+6&gt;=G30),1,""))</x:f>
      </x:c>
      <x:c r="U30" s="12" t="str">
        <x:f t="shared" ref="U30:AD39" si="7">IF(C30="","",IF(AND(U$9&lt;=H30,U$9+6&gt;=G30),1,""))</x:f>
      </x:c>
      <x:c r="V30" s="13" t="str">
        <x:f t="shared" si="7">IF(C30="","",IF(AND(V$9&lt;=H30,V$9+6&gt;=G30),1,""))</x:f>
      </x:c>
      <x:c r="W30" s="12" t="str">
        <x:f t="shared" si="7">IF(C30="","",IF(AND(W$9&lt;=H30,W$9+6&gt;=G30),1,""))</x:f>
      </x:c>
      <x:c r="X30" s="13" t="str">
        <x:f t="shared" si="7">IF(C30="","",IF(AND(X$9&lt;=H30,X$9+6&gt;=G30),1,""))</x:f>
      </x:c>
      <x:c r="Y30" s="12" t="str">
        <x:f t="shared" si="7">IF(C30="","",IF(AND(Y$9&lt;=H30,Y$9+6&gt;=G30),1,""))</x:f>
      </x:c>
      <x:c r="Z30" s="13" t="str">
        <x:f t="shared" si="7">IF(C30="","",IF(AND(Z$9&lt;=H30,Z$9+6&gt;=G30),1,""))</x:f>
      </x:c>
      <x:c r="AA30" s="12" t="str">
        <x:f t="shared" si="7">IF(C30="","",IF(AND(AA$9&lt;=H30,AA$9+6&gt;=G30),1,""))</x:f>
      </x:c>
      <x:c r="AB30" s="13" t="str">
        <x:f t="shared" si="7">IF(C30="","",IF(AND(AB$9&lt;=H30,AB$9+6&gt;=G30),1,""))</x:f>
      </x:c>
      <x:c r="AC30" s="12" t="str">
        <x:f t="shared" si="7">IF(C30="","",IF(AND(AC$9&lt;=H30,AC$9+6&gt;=G30),1,""))</x:f>
      </x:c>
      <x:c r="AD30" s="13" t="str">
        <x:f t="shared" si="7">IF(C30="","",IF(AND(AD$9&lt;=H30,AD$9+6&gt;=G30),1,""))</x:f>
      </x:c>
    </x:row>
    <x:row r="31">
      <x:c r="B31" s="87"/>
      <x:c r="C31" s="88"/>
      <x:c r="D31" s="89"/>
      <x:c r="E31" s="89"/>
      <x:c r="F31" s="89"/>
      <x:c r="G31" s="10"/>
      <x:c r="H31" s="10"/>
      <x:c r="I31" s="11">
        <x:f t="shared" si="1"/>
      </x:c>
      <x:c r="J31" s="74"/>
      <x:c r="K31" s="12">
        <x:f t="shared" si="6"/>
      </x:c>
      <x:c r="L31" s="13">
        <x:f t="shared" si="6"/>
      </x:c>
      <x:c r="M31" s="12">
        <x:f t="shared" si="6"/>
      </x:c>
      <x:c r="N31" s="13">
        <x:f t="shared" si="6"/>
      </x:c>
      <x:c r="O31" s="12">
        <x:f t="shared" si="6"/>
      </x:c>
      <x:c r="P31" s="13">
        <x:f t="shared" si="6"/>
      </x:c>
      <x:c r="Q31" s="12">
        <x:f t="shared" si="6"/>
      </x:c>
      <x:c r="R31" s="13">
        <x:f t="shared" si="6"/>
      </x:c>
      <x:c r="S31" s="12">
        <x:f t="shared" si="6"/>
      </x:c>
      <x:c r="T31" s="13">
        <x:f t="shared" si="6"/>
      </x:c>
      <x:c r="U31" s="12">
        <x:f t="shared" si="7"/>
      </x:c>
      <x:c r="V31" s="13">
        <x:f t="shared" si="7"/>
      </x:c>
      <x:c r="W31" s="12">
        <x:f t="shared" si="7"/>
      </x:c>
      <x:c r="X31" s="13">
        <x:f t="shared" si="7"/>
      </x:c>
      <x:c r="Y31" s="12">
        <x:f t="shared" si="7"/>
      </x:c>
      <x:c r="Z31" s="13">
        <x:f t="shared" si="7"/>
      </x:c>
      <x:c r="AA31" s="12">
        <x:f t="shared" si="7"/>
      </x:c>
      <x:c r="AB31" s="13">
        <x:f t="shared" si="7"/>
      </x:c>
      <x:c r="AC31" s="12">
        <x:f t="shared" si="7"/>
      </x:c>
      <x:c r="AD31" s="13">
        <x:f t="shared" si="7"/>
      </x:c>
    </x:row>
    <x:row r="32">
      <x:c r="B32" s="84"/>
      <x:c r="C32" s="85"/>
      <x:c r="D32" s="86"/>
      <x:c r="E32" s="86"/>
      <x:c r="F32" s="86"/>
      <x:c r="G32" s="9"/>
      <x:c r="H32" s="9"/>
      <x:c r="I32" s="11">
        <x:f t="shared" si="1"/>
      </x:c>
      <x:c r="J32" s="74"/>
      <x:c r="K32" s="12">
        <x:f t="shared" si="6"/>
      </x:c>
      <x:c r="L32" s="13">
        <x:f t="shared" si="6"/>
      </x:c>
      <x:c r="M32" s="12">
        <x:f t="shared" si="6"/>
      </x:c>
      <x:c r="N32" s="13">
        <x:f t="shared" si="6"/>
      </x:c>
      <x:c r="O32" s="12">
        <x:f t="shared" si="6"/>
      </x:c>
      <x:c r="P32" s="13">
        <x:f t="shared" si="6"/>
      </x:c>
      <x:c r="Q32" s="12">
        <x:f t="shared" si="6"/>
      </x:c>
      <x:c r="R32" s="13">
        <x:f t="shared" si="6"/>
      </x:c>
      <x:c r="S32" s="12">
        <x:f t="shared" si="6"/>
      </x:c>
      <x:c r="T32" s="13">
        <x:f t="shared" si="6"/>
      </x:c>
      <x:c r="U32" s="12">
        <x:f t="shared" si="7"/>
      </x:c>
      <x:c r="V32" s="13">
        <x:f t="shared" si="7"/>
      </x:c>
      <x:c r="W32" s="12">
        <x:f t="shared" si="7"/>
      </x:c>
      <x:c r="X32" s="13">
        <x:f t="shared" si="7"/>
      </x:c>
      <x:c r="Y32" s="12">
        <x:f t="shared" si="7"/>
      </x:c>
      <x:c r="Z32" s="13">
        <x:f t="shared" si="7"/>
      </x:c>
      <x:c r="AA32" s="12">
        <x:f t="shared" si="7"/>
      </x:c>
      <x:c r="AB32" s="13">
        <x:f t="shared" si="7"/>
      </x:c>
      <x:c r="AC32" s="12">
        <x:f t="shared" si="7"/>
      </x:c>
      <x:c r="AD32" s="13">
        <x:f t="shared" si="7"/>
      </x:c>
    </x:row>
    <x:row r="33">
      <x:c r="B33" s="87"/>
      <x:c r="C33" s="88"/>
      <x:c r="D33" s="89"/>
      <x:c r="E33" s="89"/>
      <x:c r="F33" s="89"/>
      <x:c r="G33" s="10"/>
      <x:c r="H33" s="10"/>
      <x:c r="I33" s="11">
        <x:f t="shared" si="1"/>
      </x:c>
      <x:c r="J33" s="74"/>
      <x:c r="K33" s="12">
        <x:f t="shared" si="6"/>
      </x:c>
      <x:c r="L33" s="13">
        <x:f t="shared" si="6"/>
      </x:c>
      <x:c r="M33" s="12">
        <x:f t="shared" si="6"/>
      </x:c>
      <x:c r="N33" s="13">
        <x:f t="shared" si="6"/>
      </x:c>
      <x:c r="O33" s="12">
        <x:f t="shared" si="6"/>
      </x:c>
      <x:c r="P33" s="13">
        <x:f t="shared" si="6"/>
      </x:c>
      <x:c r="Q33" s="12">
        <x:f t="shared" si="6"/>
      </x:c>
      <x:c r="R33" s="13">
        <x:f t="shared" si="6"/>
      </x:c>
      <x:c r="S33" s="12">
        <x:f t="shared" si="6"/>
      </x:c>
      <x:c r="T33" s="13">
        <x:f t="shared" si="6"/>
      </x:c>
      <x:c r="U33" s="12">
        <x:f t="shared" si="7"/>
      </x:c>
      <x:c r="V33" s="13">
        <x:f t="shared" si="7"/>
      </x:c>
      <x:c r="W33" s="12">
        <x:f t="shared" si="7"/>
      </x:c>
      <x:c r="X33" s="13">
        <x:f t="shared" si="7"/>
      </x:c>
      <x:c r="Y33" s="12">
        <x:f t="shared" si="7"/>
      </x:c>
      <x:c r="Z33" s="13">
        <x:f t="shared" si="7"/>
      </x:c>
      <x:c r="AA33" s="12">
        <x:f t="shared" si="7"/>
      </x:c>
      <x:c r="AB33" s="13">
        <x:f t="shared" si="7"/>
      </x:c>
      <x:c r="AC33" s="12">
        <x:f t="shared" si="7"/>
      </x:c>
      <x:c r="AD33" s="13">
        <x:f t="shared" si="7"/>
      </x:c>
    </x:row>
    <x:row r="34">
      <x:c r="B34" s="84"/>
      <x:c r="C34" s="85"/>
      <x:c r="D34" s="86"/>
      <x:c r="E34" s="86"/>
      <x:c r="F34" s="86"/>
      <x:c r="G34" s="9"/>
      <x:c r="H34" s="9"/>
      <x:c r="I34" s="11">
        <x:f t="shared" si="1"/>
      </x:c>
      <x:c r="J34" s="74"/>
      <x:c r="K34" s="12">
        <x:f t="shared" si="6"/>
      </x:c>
      <x:c r="L34" s="13">
        <x:f t="shared" si="6"/>
      </x:c>
      <x:c r="M34" s="12">
        <x:f t="shared" si="6"/>
      </x:c>
      <x:c r="N34" s="13">
        <x:f t="shared" si="6"/>
      </x:c>
      <x:c r="O34" s="12">
        <x:f t="shared" si="6"/>
      </x:c>
      <x:c r="P34" s="13">
        <x:f t="shared" si="6"/>
      </x:c>
      <x:c r="Q34" s="12">
        <x:f t="shared" si="6"/>
      </x:c>
      <x:c r="R34" s="13">
        <x:f t="shared" si="6"/>
      </x:c>
      <x:c r="S34" s="12">
        <x:f t="shared" si="6"/>
      </x:c>
      <x:c r="T34" s="13">
        <x:f t="shared" si="6"/>
      </x:c>
      <x:c r="U34" s="12">
        <x:f t="shared" si="7"/>
      </x:c>
      <x:c r="V34" s="13">
        <x:f t="shared" si="7"/>
      </x:c>
      <x:c r="W34" s="12">
        <x:f t="shared" si="7"/>
      </x:c>
      <x:c r="X34" s="13">
        <x:f t="shared" si="7"/>
      </x:c>
      <x:c r="Y34" s="12">
        <x:f t="shared" si="7"/>
      </x:c>
      <x:c r="Z34" s="13">
        <x:f t="shared" si="7"/>
      </x:c>
      <x:c r="AA34" s="12">
        <x:f t="shared" si="7"/>
      </x:c>
      <x:c r="AB34" s="13">
        <x:f t="shared" si="7"/>
      </x:c>
      <x:c r="AC34" s="12">
        <x:f t="shared" si="7"/>
      </x:c>
      <x:c r="AD34" s="13">
        <x:f t="shared" si="7"/>
      </x:c>
    </x:row>
    <x:row r="35">
      <x:c r="B35" s="87"/>
      <x:c r="C35" s="88"/>
      <x:c r="D35" s="89"/>
      <x:c r="E35" s="89"/>
      <x:c r="F35" s="89"/>
      <x:c r="G35" s="10"/>
      <x:c r="H35" s="10"/>
      <x:c r="I35" s="11">
        <x:f t="shared" si="1"/>
      </x:c>
      <x:c r="J35" s="74"/>
      <x:c r="K35" s="12">
        <x:f t="shared" si="6"/>
      </x:c>
      <x:c r="L35" s="13">
        <x:f t="shared" si="6"/>
      </x:c>
      <x:c r="M35" s="12">
        <x:f t="shared" si="6"/>
      </x:c>
      <x:c r="N35" s="13">
        <x:f t="shared" si="6"/>
      </x:c>
      <x:c r="O35" s="12">
        <x:f t="shared" si="6"/>
      </x:c>
      <x:c r="P35" s="13">
        <x:f t="shared" si="6"/>
      </x:c>
      <x:c r="Q35" s="12">
        <x:f t="shared" si="6"/>
      </x:c>
      <x:c r="R35" s="13">
        <x:f t="shared" si="6"/>
      </x:c>
      <x:c r="S35" s="12">
        <x:f t="shared" si="6"/>
      </x:c>
      <x:c r="T35" s="13">
        <x:f t="shared" si="6"/>
      </x:c>
      <x:c r="U35" s="12">
        <x:f t="shared" si="7"/>
      </x:c>
      <x:c r="V35" s="13">
        <x:f t="shared" si="7"/>
      </x:c>
      <x:c r="W35" s="12">
        <x:f t="shared" si="7"/>
      </x:c>
      <x:c r="X35" s="13">
        <x:f t="shared" si="7"/>
      </x:c>
      <x:c r="Y35" s="12">
        <x:f t="shared" si="7"/>
      </x:c>
      <x:c r="Z35" s="13">
        <x:f t="shared" si="7"/>
      </x:c>
      <x:c r="AA35" s="12">
        <x:f t="shared" si="7"/>
      </x:c>
      <x:c r="AB35" s="13">
        <x:f t="shared" si="7"/>
      </x:c>
      <x:c r="AC35" s="12">
        <x:f t="shared" si="7"/>
      </x:c>
      <x:c r="AD35" s="13">
        <x:f t="shared" si="7"/>
      </x:c>
    </x:row>
    <x:row r="36">
      <x:c r="B36" s="84"/>
      <x:c r="C36" s="85"/>
      <x:c r="D36" s="86"/>
      <x:c r="E36" s="86"/>
      <x:c r="F36" s="86"/>
      <x:c r="G36" s="9"/>
      <x:c r="H36" s="9"/>
      <x:c r="I36" s="11">
        <x:f t="shared" si="1"/>
      </x:c>
      <x:c r="J36" s="74"/>
      <x:c r="K36" s="12">
        <x:f t="shared" si="6"/>
      </x:c>
      <x:c r="L36" s="13">
        <x:f t="shared" si="6"/>
      </x:c>
      <x:c r="M36" s="12">
        <x:f t="shared" si="6"/>
      </x:c>
      <x:c r="N36" s="13">
        <x:f t="shared" si="6"/>
      </x:c>
      <x:c r="O36" s="12">
        <x:f t="shared" si="6"/>
      </x:c>
      <x:c r="P36" s="13">
        <x:f t="shared" si="6"/>
      </x:c>
      <x:c r="Q36" s="12">
        <x:f t="shared" si="6"/>
      </x:c>
      <x:c r="R36" s="13">
        <x:f t="shared" si="6"/>
      </x:c>
      <x:c r="S36" s="12">
        <x:f t="shared" si="6"/>
      </x:c>
      <x:c r="T36" s="13">
        <x:f t="shared" si="6"/>
      </x:c>
      <x:c r="U36" s="12">
        <x:f t="shared" si="7"/>
      </x:c>
      <x:c r="V36" s="13">
        <x:f t="shared" si="7"/>
      </x:c>
      <x:c r="W36" s="12">
        <x:f t="shared" si="7"/>
      </x:c>
      <x:c r="X36" s="13">
        <x:f t="shared" si="7"/>
      </x:c>
      <x:c r="Y36" s="12">
        <x:f t="shared" si="7"/>
      </x:c>
      <x:c r="Z36" s="13">
        <x:f t="shared" si="7"/>
      </x:c>
      <x:c r="AA36" s="12">
        <x:f t="shared" si="7"/>
      </x:c>
      <x:c r="AB36" s="13">
        <x:f t="shared" si="7"/>
      </x:c>
      <x:c r="AC36" s="12">
        <x:f t="shared" si="7"/>
      </x:c>
      <x:c r="AD36" s="13">
        <x:f t="shared" si="7"/>
      </x:c>
    </x:row>
    <x:row r="37">
      <x:c r="B37" s="87"/>
      <x:c r="C37" s="88"/>
      <x:c r="D37" s="89"/>
      <x:c r="E37" s="89"/>
      <x:c r="F37" s="89"/>
      <x:c r="G37" s="10"/>
      <x:c r="H37" s="10"/>
      <x:c r="I37" s="11">
        <x:f t="shared" si="1"/>
      </x:c>
      <x:c r="J37" s="74"/>
      <x:c r="K37" s="12">
        <x:f t="shared" si="6"/>
      </x:c>
      <x:c r="L37" s="13">
        <x:f t="shared" si="6"/>
      </x:c>
      <x:c r="M37" s="12">
        <x:f t="shared" si="6"/>
      </x:c>
      <x:c r="N37" s="13">
        <x:f t="shared" si="6"/>
      </x:c>
      <x:c r="O37" s="12">
        <x:f t="shared" si="6"/>
      </x:c>
      <x:c r="P37" s="13">
        <x:f t="shared" si="6"/>
      </x:c>
      <x:c r="Q37" s="12">
        <x:f t="shared" si="6"/>
      </x:c>
      <x:c r="R37" s="13">
        <x:f t="shared" si="6"/>
      </x:c>
      <x:c r="S37" s="12">
        <x:f t="shared" si="6"/>
      </x:c>
      <x:c r="T37" s="13">
        <x:f t="shared" si="6"/>
      </x:c>
      <x:c r="U37" s="12">
        <x:f t="shared" si="7"/>
      </x:c>
      <x:c r="V37" s="13">
        <x:f t="shared" si="7"/>
      </x:c>
      <x:c r="W37" s="12">
        <x:f t="shared" si="7"/>
      </x:c>
      <x:c r="X37" s="13">
        <x:f t="shared" si="7"/>
      </x:c>
      <x:c r="Y37" s="12">
        <x:f t="shared" si="7"/>
      </x:c>
      <x:c r="Z37" s="13">
        <x:f t="shared" si="7"/>
      </x:c>
      <x:c r="AA37" s="12">
        <x:f t="shared" si="7"/>
      </x:c>
      <x:c r="AB37" s="13">
        <x:f t="shared" si="7"/>
      </x:c>
      <x:c r="AC37" s="12">
        <x:f t="shared" si="7"/>
      </x:c>
      <x:c r="AD37" s="13">
        <x:f t="shared" si="7"/>
      </x:c>
    </x:row>
    <x:row r="38">
      <x:c r="B38" s="84"/>
      <x:c r="C38" s="85"/>
      <x:c r="D38" s="86"/>
      <x:c r="E38" s="86"/>
      <x:c r="F38" s="86"/>
      <x:c r="G38" s="9"/>
      <x:c r="H38" s="9"/>
      <x:c r="I38" s="11">
        <x:f t="shared" si="1"/>
      </x:c>
      <x:c r="J38" s="74"/>
      <x:c r="K38" s="12">
        <x:f t="shared" si="6"/>
      </x:c>
      <x:c r="L38" s="13">
        <x:f t="shared" si="6"/>
      </x:c>
      <x:c r="M38" s="12">
        <x:f t="shared" si="6"/>
      </x:c>
      <x:c r="N38" s="13">
        <x:f t="shared" si="6"/>
      </x:c>
      <x:c r="O38" s="12">
        <x:f t="shared" si="6"/>
      </x:c>
      <x:c r="P38" s="13">
        <x:f t="shared" si="6"/>
      </x:c>
      <x:c r="Q38" s="12">
        <x:f t="shared" si="6"/>
      </x:c>
      <x:c r="R38" s="13">
        <x:f t="shared" si="6"/>
      </x:c>
      <x:c r="S38" s="12">
        <x:f t="shared" si="6"/>
      </x:c>
      <x:c r="T38" s="13">
        <x:f t="shared" si="6"/>
      </x:c>
      <x:c r="U38" s="12">
        <x:f t="shared" si="7"/>
      </x:c>
      <x:c r="V38" s="13">
        <x:f t="shared" si="7"/>
      </x:c>
      <x:c r="W38" s="12">
        <x:f t="shared" si="7"/>
      </x:c>
      <x:c r="X38" s="13">
        <x:f t="shared" si="7"/>
      </x:c>
      <x:c r="Y38" s="12">
        <x:f t="shared" si="7"/>
      </x:c>
      <x:c r="Z38" s="13">
        <x:f t="shared" si="7"/>
      </x:c>
      <x:c r="AA38" s="12">
        <x:f t="shared" si="7"/>
      </x:c>
      <x:c r="AB38" s="13">
        <x:f t="shared" si="7"/>
      </x:c>
      <x:c r="AC38" s="12">
        <x:f t="shared" si="7"/>
      </x:c>
      <x:c r="AD38" s="13">
        <x:f t="shared" si="7"/>
      </x:c>
    </x:row>
    <x:row r="39">
      <x:c r="B39" s="87"/>
      <x:c r="C39" s="88"/>
      <x:c r="D39" s="89"/>
      <x:c r="E39" s="89"/>
      <x:c r="F39" s="89"/>
      <x:c r="G39" s="10"/>
      <x:c r="H39" s="10"/>
      <x:c r="I39" s="11">
        <x:f t="shared" si="1"/>
      </x:c>
      <x:c r="J39" s="74"/>
      <x:c r="K39" s="12">
        <x:f t="shared" si="6"/>
      </x:c>
      <x:c r="L39" s="13">
        <x:f t="shared" si="6"/>
      </x:c>
      <x:c r="M39" s="12">
        <x:f t="shared" si="6"/>
      </x:c>
      <x:c r="N39" s="13">
        <x:f t="shared" si="6"/>
      </x:c>
      <x:c r="O39" s="12">
        <x:f t="shared" si="6"/>
      </x:c>
      <x:c r="P39" s="13">
        <x:f t="shared" si="6"/>
      </x:c>
      <x:c r="Q39" s="12">
        <x:f t="shared" si="6"/>
      </x:c>
      <x:c r="R39" s="13">
        <x:f t="shared" si="6"/>
      </x:c>
      <x:c r="S39" s="12">
        <x:f t="shared" si="6"/>
      </x:c>
      <x:c r="T39" s="13">
        <x:f t="shared" si="6"/>
      </x:c>
      <x:c r="U39" s="12">
        <x:f t="shared" si="7"/>
      </x:c>
      <x:c r="V39" s="13">
        <x:f t="shared" si="7"/>
      </x:c>
      <x:c r="W39" s="12">
        <x:f t="shared" si="7"/>
      </x:c>
      <x:c r="X39" s="13">
        <x:f t="shared" si="7"/>
      </x:c>
      <x:c r="Y39" s="12">
        <x:f t="shared" si="7"/>
      </x:c>
      <x:c r="Z39" s="13">
        <x:f t="shared" si="7"/>
      </x:c>
      <x:c r="AA39" s="12">
        <x:f t="shared" si="7"/>
      </x:c>
      <x:c r="AB39" s="13">
        <x:f t="shared" si="7"/>
      </x:c>
      <x:c r="AC39" s="12">
        <x:f t="shared" si="7"/>
      </x:c>
      <x:c r="AD39" s="13">
        <x:f t="shared" si="7"/>
      </x:c>
    </x:row>
    <x:row r="40"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  <x:c r="AA40" s="74"/>
      <x:c r="AB40" s="74"/>
      <x:c r="AC40" s="74"/>
      <x:c r="AD40" s="74"/>
    </x:row>
    <x:row r="41" ht="24" customHeight="1">
      <x:c r="B41" s="90" t="str">
        <x:v>入力は「課題入力」へ。ここには締切順の21件を表示。期限超過はバーが出ない場合があります。「今日の3件」で確認してください。</x:v>
      </x:c>
      <x:c r="C41" s="91" t="str">
        <x:v>入力は「課題入力」へ。ここには締切順の21件を表示。期限超過はバーが出ない場合があります。「今日の3件」で確認してください。</x:v>
      </x:c>
      <x:c r="D41" s="91" t="str">
        <x:v>入力は「課題入力」へ。ここには締切順の21件を表示。期限超過はバーが出ない場合があります。「今日の3件」で確認してください。</x:v>
      </x:c>
      <x:c r="E41" s="91" t="str">
        <x:v>入力は「課題入力」へ。ここには締切順の21件を表示。期限超過はバーが出ない場合があります。「今日の3件」で確認してください。</x:v>
      </x:c>
      <x:c r="F41" s="91" t="str">
        <x:v>入力は「課題入力」へ。ここには締切順の21件を表示。期限超過はバーが出ない場合があります。「今日の3件」で確認してください。</x:v>
      </x:c>
      <x:c r="G41" s="91" t="str">
        <x:v>入力は「課題入力」へ。ここには締切順の21件を表示。期限超過はバーが出ない場合があります。「今日の3件」で確認してください。</x:v>
      </x:c>
      <x:c r="H41" s="91" t="str">
        <x:v>入力は「課題入力」へ。ここには締切順の21件を表示。期限超過はバーが出ない場合があります。「今日の3件」で確認してください。</x:v>
      </x:c>
      <x:c r="I41" s="91" t="str">
        <x:v>入力は「課題入力」へ。ここには締切順の21件を表示。期限超過はバーが出ない場合があります。「今日の3件」で確認してください。</x:v>
      </x:c>
      <x:c r="J41" s="91" t="str">
        <x:v>入力は「課題入力」へ。ここには締切順の21件を表示。期限超過はバーが出ない場合があります。「今日の3件」で確認してください。</x:v>
      </x:c>
      <x:c r="K41" s="91" t="str">
        <x:v>入力は「課題入力」へ。ここには締切順の21件を表示。期限超過はバーが出ない場合があります。「今日の3件」で確認してください。</x:v>
      </x:c>
      <x:c r="L41" s="91" t="str">
        <x:v>入力は「課題入力」へ。ここには締切順の21件を表示。期限超過はバーが出ない場合があります。「今日の3件」で確認してください。</x:v>
      </x:c>
      <x:c r="M41" s="91" t="str">
        <x:v>入力は「課題入力」へ。ここには締切順の21件を表示。期限超過はバーが出ない場合があります。「今日の3件」で確認してください。</x:v>
      </x:c>
      <x:c r="N41" s="91" t="str">
        <x:v>入力は「課題入力」へ。ここには締切順の21件を表示。期限超過はバーが出ない場合があります。「今日の3件」で確認してください。</x:v>
      </x:c>
      <x:c r="O41" s="91" t="str">
        <x:v>入力は「課題入力」へ。ここには締切順の21件を表示。期限超過はバーが出ない場合があります。「今日の3件」で確認してください。</x:v>
      </x:c>
      <x:c r="P41" s="91" t="str">
        <x:v>入力は「課題入力」へ。ここには締切順の21件を表示。期限超過はバーが出ない場合があります。「今日の3件」で確認してください。</x:v>
      </x:c>
      <x:c r="Q41" s="91" t="str">
        <x:v>入力は「課題入力」へ。ここには締切順の21件を表示。期限超過はバーが出ない場合があります。「今日の3件」で確認してください。</x:v>
      </x:c>
      <x:c r="R41" s="91" t="str">
        <x:v>入力は「課題入力」へ。ここには締切順の21件を表示。期限超過はバーが出ない場合があります。「今日の3件」で確認してください。</x:v>
      </x:c>
      <x:c r="S41" s="91" t="str">
        <x:v>入力は「課題入力」へ。ここには締切順の21件を表示。期限超過はバーが出ない場合があります。「今日の3件」で確認してください。</x:v>
      </x:c>
      <x:c r="T41" s="91" t="str">
        <x:v>入力は「課題入力」へ。ここには締切順の21件を表示。期限超過はバーが出ない場合があります。「今日の3件」で確認してください。</x:v>
      </x:c>
      <x:c r="U41" s="91" t="str">
        <x:v>入力は「課題入力」へ。ここには締切順の21件を表示。期限超過はバーが出ない場合があります。「今日の3件」で確認してください。</x:v>
      </x:c>
      <x:c r="V41" s="91" t="str">
        <x:v>入力は「課題入力」へ。ここには締切順の21件を表示。期限超過はバーが出ない場合があります。「今日の3件」で確認してください。</x:v>
      </x:c>
      <x:c r="W41" s="91" t="str">
        <x:v>入力は「課題入力」へ。ここには締切順の21件を表示。期限超過はバーが出ない場合があります。「今日の3件」で確認してください。</x:v>
      </x:c>
      <x:c r="X41" s="91" t="str">
        <x:v>入力は「課題入力」へ。ここには締切順の21件を表示。期限超過はバーが出ない場合があります。「今日の3件」で確認してください。</x:v>
      </x:c>
      <x:c r="Y41" s="91" t="str">
        <x:v>入力は「課題入力」へ。ここには締切順の21件を表示。期限超過はバーが出ない場合があります。「今日の3件」で確認してください。</x:v>
      </x:c>
      <x:c r="Z41" s="91" t="str">
        <x:v>入力は「課題入力」へ。ここには締切順の21件を表示。期限超過はバーが出ない場合があります。「今日の3件」で確認してください。</x:v>
      </x:c>
      <x:c r="AA41" s="91" t="str">
        <x:v>入力は「課題入力」へ。ここには締切順の21件を表示。期限超過はバーが出ない場合があります。「今日の3件」で確認してください。</x:v>
      </x:c>
      <x:c r="AB41" s="91" t="str">
        <x:v>入力は「課題入力」へ。ここには締切順の21件を表示。期限超過はバーが出ない場合があります。「今日の3件」で確認してください。</x:v>
      </x:c>
      <x:c r="AC41" s="91" t="str">
        <x:v>入力は「課題入力」へ。ここには締切順の21件を表示。期限超過はバーが出ない場合があります。「今日の3件」で確認してください。</x:v>
      </x:c>
      <x:c r="AD41" s="92" t="str">
        <x:v>入力は「課題入力」へ。ここには締切順の21件を表示。期限超過はバーが出ない場合があります。「今日の3件」で確認してください。</x:v>
      </x:c>
    </x:row>
    <x:row r="42" ht="24" customHeight="1">
      <x:c r="B42" s="93" t="str">
        <x:v>入力は「課題入力」へ。ここには締切順の21件を表示。期限超過はバーが出ない場合があります。「今日の3件」で確認してください。</x:v>
      </x:c>
      <x:c r="C42" s="94" t="str">
        <x:v>入力は「課題入力」へ。ここには締切順の21件を表示。期限超過はバーが出ない場合があります。「今日の3件」で確認してください。</x:v>
      </x:c>
      <x:c r="D42" s="94" t="str">
        <x:v>入力は「課題入力」へ。ここには締切順の21件を表示。期限超過はバーが出ない場合があります。「今日の3件」で確認してください。</x:v>
      </x:c>
      <x:c r="E42" s="94" t="str">
        <x:v>入力は「課題入力」へ。ここには締切順の21件を表示。期限超過はバーが出ない場合があります。「今日の3件」で確認してください。</x:v>
      </x:c>
      <x:c r="F42" s="94" t="str">
        <x:v>入力は「課題入力」へ。ここには締切順の21件を表示。期限超過はバーが出ない場合があります。「今日の3件」で確認してください。</x:v>
      </x:c>
      <x:c r="G42" s="94" t="str">
        <x:v>入力は「課題入力」へ。ここには締切順の21件を表示。期限超過はバーが出ない場合があります。「今日の3件」で確認してください。</x:v>
      </x:c>
      <x:c r="H42" s="94" t="str">
        <x:v>入力は「課題入力」へ。ここには締切順の21件を表示。期限超過はバーが出ない場合があります。「今日の3件」で確認してください。</x:v>
      </x:c>
      <x:c r="I42" s="94" t="str">
        <x:v>入力は「課題入力」へ。ここには締切順の21件を表示。期限超過はバーが出ない場合があります。「今日の3件」で確認してください。</x:v>
      </x:c>
      <x:c r="J42" s="94" t="str">
        <x:v>入力は「課題入力」へ。ここには締切順の21件を表示。期限超過はバーが出ない場合があります。「今日の3件」で確認してください。</x:v>
      </x:c>
      <x:c r="K42" s="94" t="str">
        <x:v>入力は「課題入力」へ。ここには締切順の21件を表示。期限超過はバーが出ない場合があります。「今日の3件」で確認してください。</x:v>
      </x:c>
      <x:c r="L42" s="94" t="str">
        <x:v>入力は「課題入力」へ。ここには締切順の21件を表示。期限超過はバーが出ない場合があります。「今日の3件」で確認してください。</x:v>
      </x:c>
      <x:c r="M42" s="94" t="str">
        <x:v>入力は「課題入力」へ。ここには締切順の21件を表示。期限超過はバーが出ない場合があります。「今日の3件」で確認してください。</x:v>
      </x:c>
      <x:c r="N42" s="94" t="str">
        <x:v>入力は「課題入力」へ。ここには締切順の21件を表示。期限超過はバーが出ない場合があります。「今日の3件」で確認してください。</x:v>
      </x:c>
      <x:c r="O42" s="94" t="str">
        <x:v>入力は「課題入力」へ。ここには締切順の21件を表示。期限超過はバーが出ない場合があります。「今日の3件」で確認してください。</x:v>
      </x:c>
      <x:c r="P42" s="94" t="str">
        <x:v>入力は「課題入力」へ。ここには締切順の21件を表示。期限超過はバーが出ない場合があります。「今日の3件」で確認してください。</x:v>
      </x:c>
      <x:c r="Q42" s="94" t="str">
        <x:v>入力は「課題入力」へ。ここには締切順の21件を表示。期限超過はバーが出ない場合があります。「今日の3件」で確認してください。</x:v>
      </x:c>
      <x:c r="R42" s="94" t="str">
        <x:v>入力は「課題入力」へ。ここには締切順の21件を表示。期限超過はバーが出ない場合があります。「今日の3件」で確認してください。</x:v>
      </x:c>
      <x:c r="S42" s="94" t="str">
        <x:v>入力は「課題入力」へ。ここには締切順の21件を表示。期限超過はバーが出ない場合があります。「今日の3件」で確認してください。</x:v>
      </x:c>
      <x:c r="T42" s="94" t="str">
        <x:v>入力は「課題入力」へ。ここには締切順の21件を表示。期限超過はバーが出ない場合があります。「今日の3件」で確認してください。</x:v>
      </x:c>
      <x:c r="U42" s="94" t="str">
        <x:v>入力は「課題入力」へ。ここには締切順の21件を表示。期限超過はバーが出ない場合があります。「今日の3件」で確認してください。</x:v>
      </x:c>
      <x:c r="V42" s="94" t="str">
        <x:v>入力は「課題入力」へ。ここには締切順の21件を表示。期限超過はバーが出ない場合があります。「今日の3件」で確認してください。</x:v>
      </x:c>
      <x:c r="W42" s="94" t="str">
        <x:v>入力は「課題入力」へ。ここには締切順の21件を表示。期限超過はバーが出ない場合があります。「今日の3件」で確認してください。</x:v>
      </x:c>
      <x:c r="X42" s="94" t="str">
        <x:v>入力は「課題入力」へ。ここには締切順の21件を表示。期限超過はバーが出ない場合があります。「今日の3件」で確認してください。</x:v>
      </x:c>
      <x:c r="Y42" s="94" t="str">
        <x:v>入力は「課題入力」へ。ここには締切順の21件を表示。期限超過はバーが出ない場合があります。「今日の3件」で確認してください。</x:v>
      </x:c>
      <x:c r="Z42" s="94" t="str">
        <x:v>入力は「課題入力」へ。ここには締切順の21件を表示。期限超過はバーが出ない場合があります。「今日の3件」で確認してください。</x:v>
      </x:c>
      <x:c r="AA42" s="94" t="str">
        <x:v>入力は「課題入力」へ。ここには締切順の21件を表示。期限超過はバーが出ない場合があります。「今日の3件」で確認してください。</x:v>
      </x:c>
      <x:c r="AB42" s="94" t="str">
        <x:v>入力は「課題入力」へ。ここには締切順の21件を表示。期限超過はバーが出ない場合があります。「今日の3件」で確認してください。</x:v>
      </x:c>
      <x:c r="AC42" s="94" t="str">
        <x:v>入力は「課題入力」へ。ここには締切順の21件を表示。期限超過はバーが出ない場合があります。「今日の3件」で確認してください。</x:v>
      </x:c>
      <x:c r="AD42" s="95" t="str">
        <x:v>入力は「課題入力」へ。ここには締切順の21件を表示。期限超過はバーが出ない場合があります。「今日の3件」で確認してください。</x:v>
      </x:c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conditionalFormatting sqref="K10:AD30">
    <x:cfRule type="cellIs" dxfId="16" priority="12" operator="equal">
      <x:formula>1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8" customHeight="1">
      <x:c r="A1" s="49"/>
      <x:c r="B1" s="49"/>
      <x:c r="C1" s="49"/>
      <x:c r="D1" s="49"/>
      <x:c r="E1" s="49"/>
    </x:row>
    <x:row r="2" ht="28" customHeight="1">
      <x:c r="A2" s="49"/>
      <x:c r="B2" s="50" t="str">
        <x:v>締切レスキューシート</x:v>
      </x:c>
      <x:c r="C2" s="49"/>
      <x:c r="D2" s="49"/>
      <x:c r="E2" s="49"/>
    </x:row>
    <x:row r="3" ht="28" customHeight="1">
      <x:c r="A3" s="49"/>
      <x:c r="B3" s="49" t="str">
        <x:v>まずは「課題入力」の黄色いセルへ。</x:v>
      </x:c>
      <x:c r="C3" s="49"/>
      <x:c r="D3" s="49"/>
      <x:c r="E3" s="49"/>
    </x:row>
    <x:row r="4" ht="28" customHeight="1">
      <x:c r="A4" s="49"/>
      <x:c r="B4" s="49"/>
      <x:c r="C4" s="49"/>
      <x:c r="D4" s="49"/>
      <x:c r="E4" s="49"/>
    </x:row>
    <x:row r="5" ht="28" customHeight="1">
      <x:c r="A5" s="49"/>
      <x:c r="B5" s="49" t="str">
        <x:v>今日（自動更新）</x:v>
      </x:c>
      <x:c r="C5" s="51" t="n">
        <x:f>TODAY()</x:f>
        <x:v>46271</x:v>
      </x:c>
      <x:c r="D5" s="49"/>
      <x:c r="E5" s="49"/>
    </x:row>
    <x:row r="6" ht="28" customHeight="1">
      <x:c r="A6" s="49"/>
      <x:c r="B6" s="49" t="str">
        <x:v>未完了（入力不足も含む）</x:v>
      </x:c>
      <x:c r="C6" s="49" t="n">
        <x:f>SUM('課題入力'!L6:L205)-SUM('課題入力'!K6:K205)</x:f>
        <x:v>3</x:v>
      </x:c>
      <x:c r="D6" s="49"/>
      <x:c r="E6" s="49"/>
    </x:row>
    <x:row r="7" ht="28" customHeight="1">
      <x:c r="A7" s="49"/>
      <x:c r="B7" s="49" t="str">
        <x:v>日曜までの残り時間・分</x:v>
      </x:c>
      <x:c r="C7" s="49" t="n">
        <x:f>SUM('課題入力'!I6:I205)</x:f>
        <x:v>0</x:v>
      </x:c>
      <x:c r="D7" s="49" t="str">
        <x:v>期限超過も含む</x:v>
      </x:c>
      <x:c r="E7" s="49"/>
    </x:row>
    <x:row r="8" ht="28" customHeight="1">
      <x:c r="A8" s="49"/>
      <x:c r="B8" s="49" t="str">
        <x:v>入力を直す課題</x:v>
      </x:c>
      <x:c r="C8" s="49" t="n">
        <x:f>SUM('課題入力'!J6:J205)</x:f>
        <x:v>0</x:v>
      </x:c>
      <x:c r="D8" s="49"/>
      <x:c r="E8" s="49"/>
    </x:row>
    <x:row r="9" ht="28" customHeight="1">
      <x:c r="A9" s="49"/>
      <x:c r="B9" s="49"/>
      <x:c r="C9" s="49"/>
      <x:c r="D9" s="49"/>
      <x:c r="E9" s="49"/>
    </x:row>
    <x:row r="10" ht="30" customHeight="1">
      <x:c r="A10" s="53" t="str">
        <x:v>順番</x:v>
      </x:c>
      <x:c r="B10" s="53" t="str">
        <x:v>今日取り組む候補</x:v>
      </x:c>
      <x:c r="C10" s="53" t="str">
        <x:v>締切</x:v>
      </x:c>
      <x:c r="D10" s="53" t="str">
        <x:v>残り・分</x:v>
      </x:c>
      <x:c r="E10" s="53" t="str">
        <x:v>状態</x:v>
      </x:c>
    </x:row>
    <x:row r="11" ht="55" customHeight="1">
      <x:c r="A11" s="55" t="n">
        <x:v>1</x:v>
      </x:c>
      <x:c r="B11" s="55" t="str">
        <x:f>IF(SUM('課題入力'!$H$6:$H$205)&lt;1,"",INDEX('課題入力'!$A$6:$A$205,MATCH(SMALL('課題入力'!$G$6:$G$205,1),'課題入力'!$G$6:$G$205,0)))</x:f>
        <x:v>見本：英語レポート</x:v>
      </x:c>
      <x:c r="C11" s="57" t="n">
        <x:f>IF(SUM('課題入力'!$H$6:$H$205)&lt;1,"",INDEX('課題入力'!$B$6:$B$205,MATCH(SMALL('課題入力'!$G$6:$G$205,1),'課題入力'!$G$6:$G$205,0)))</x:f>
        <x:v>46272</x:v>
      </x:c>
      <x:c r="D11" s="58" t="n">
        <x:f>IF(SUM('課題入力'!$H$6:$H$205)&lt;1,"",INDEX('課題入力'!$C$6:$C$205,MATCH(SMALL('課題入力'!$G$6:$G$205,1),'課題入力'!$G$6:$G$205,0)))</x:f>
        <x:v>60</x:v>
      </x:c>
      <x:c r="E11" s="55" t="str">
        <x:f>IF(SUM('課題入力'!$H$6:$H$205)&lt;1,"",INDEX('課題入力'!$E$6:$E$205,MATCH(SMALL('課題入力'!$G$6:$G$205,1),'課題入力'!$G$6:$G$205,0)))</x:f>
        <x:v>3日以内</x:v>
      </x:c>
    </x:row>
    <x:row r="12" ht="55" customHeight="1">
      <x:c r="A12" s="55" t="n">
        <x:v>2</x:v>
      </x:c>
      <x:c r="B12" s="55" t="str">
        <x:f>IF(SUM('課題入力'!$H$6:$H$205)&lt;2,"",INDEX('課題入力'!$A$6:$A$205,MATCH(SMALL('課題入力'!$G$6:$G$205,2),'課題入力'!$G$6:$G$205,0)))</x:f>
        <x:v>見本：統計の演習</x:v>
      </x:c>
      <x:c r="C12" s="57" t="n">
        <x:f>IF(SUM('課題入力'!$H$6:$H$205)&lt;2,"",INDEX('課題入力'!$B$6:$B$205,MATCH(SMALL('課題入力'!$G$6:$G$205,2),'課題入力'!$G$6:$G$205,0)))</x:f>
        <x:v>46274</x:v>
      </x:c>
      <x:c r="D12" s="58" t="n">
        <x:f>IF(SUM('課題入力'!$H$6:$H$205)&lt;2,"",INDEX('課題入力'!$C$6:$C$205,MATCH(SMALL('課題入力'!$G$6:$G$205,2),'課題入力'!$G$6:$G$205,0)))</x:f>
        <x:v>30</x:v>
      </x:c>
      <x:c r="E12" s="55" t="str">
        <x:f>IF(SUM('課題入力'!$H$6:$H$205)&lt;2,"",INDEX('課題入力'!$E$6:$E$205,MATCH(SMALL('課題入力'!$G$6:$G$205,2),'課題入力'!$G$6:$G$205,0)))</x:f>
        <x:v>3日以内</x:v>
      </x:c>
    </x:row>
    <x:row r="13" ht="55" customHeight="1">
      <x:c r="A13" s="55" t="n">
        <x:v>3</x:v>
      </x:c>
      <x:c r="B13" s="55" t="str">
        <x:f>IF(SUM('課題入力'!$H$6:$H$205)&lt;3,"",INDEX('課題入力'!$A$6:$A$205,MATCH(SMALL('課題入力'!$G$6:$G$205,3),'課題入力'!$G$6:$G$205,0)))</x:f>
        <x:v>見本：ゼミの資料</x:v>
      </x:c>
      <x:c r="C13" s="57" t="n">
        <x:f>IF(SUM('課題入力'!$H$6:$H$205)&lt;3,"",INDEX('課題入力'!$B$6:$B$205,MATCH(SMALL('課題入力'!$G$6:$G$205,3),'課題入力'!$G$6:$G$205,0)))</x:f>
        <x:v>46277</x:v>
      </x:c>
      <x:c r="D13" s="58" t="n">
        <x:f>IF(SUM('課題入力'!$H$6:$H$205)&lt;3,"",INDEX('課題入力'!$C$6:$C$205,MATCH(SMALL('課題入力'!$G$6:$G$205,3),'課題入力'!$G$6:$G$205,0)))</x:f>
        <x:v>90</x:v>
      </x:c>
      <x:c r="E13" s="55" t="str">
        <x:f>IF(SUM('課題入力'!$H$6:$H$205)&lt;3,"",INDEX('課題入力'!$E$6:$E$205,MATCH(SMALL('課題入力'!$G$6:$G$205,3),'課題入力'!$G$6:$G$205,0)))</x:f>
        <x:v>これから</x:v>
      </x:c>
    </x:row>
    <x:row r="14" ht="28" customHeight="1">
      <x:c r="A14" s="49"/>
      <x:c r="B14" s="49"/>
      <x:c r="C14" s="49"/>
      <x:c r="D14" s="49"/>
      <x:c r="E14" s="49"/>
    </x:row>
    <x:row r="15" ht="32" customHeight="1">
      <x:c r="A15" s="49"/>
      <x:c r="B15" s="59" t="str">
        <x:v>選び方：未完了を締切の早い順。同日は入力順。</x:v>
      </x:c>
      <x:c r="C15" s="59"/>
      <x:c r="D15" s="59"/>
      <x:c r="E15" s="59"/>
    </x:row>
    <x:row r="16" ht="32" customHeight="1">
      <x:c r="A16" s="49"/>
      <x:c r="B16" s="59" t="str">
        <x:v>3件を今日すべて終える必要はありません。</x:v>
      </x:c>
      <x:c r="C16" s="59"/>
      <x:c r="D16" s="59"/>
      <x:c r="E16" s="59"/>
    </x:row>
    <x:row r="17" ht="32" customHeight="1">
      <x:c r="A17" s="49"/>
      <x:c r="B17" s="59" t="str">
        <x:v>期限超過は提出先へ相談。提出時刻は自分で確認。</x:v>
      </x:c>
      <x:c r="C17" s="59"/>
      <x:c r="D17" s="59"/>
      <x:c r="E17" s="59"/>
    </x:row>
    <x:row r="18" ht="28" customHeight="1">
      <x:c r="A18" s="49"/>
      <x:c r="B18" s="49"/>
      <x:c r="C18" s="49"/>
      <x:c r="D18" s="49"/>
      <x:c r="E18" s="49"/>
    </x:row>
    <x:row r="19" ht="32" customHeight="1">
      <x:c r="A19" s="49"/>
      <x:c r="B19" s="59" t="str">
        <x:v>まず25分。下のURLをブラウザにコピーして無料登録。</x:v>
      </x:c>
      <x:c r="C19" s="59"/>
      <x:c r="D19" s="59"/>
      <x:c r="E19" s="59"/>
    </x:row>
    <x:row r="20" ht="38" customHeight="1">
      <x:c r="A20" s="49"/>
      <x:c r="B20" s="53" t="str">
        <x:v>https://study-sns-next.vercel.app/start/rescue</x:v>
      </x:c>
      <x:c r="C20" s="53" t="str">
        <x:v>https://study-sns-next.vercel.app/start/rescue</x:v>
      </x:c>
      <x:c r="D20" s="53" t="str">
        <x:v>https://study-sns-next.vercel.app/start/rescue</x:v>
      </x:c>
      <x:c r="E20" s="53" t="str">
        <x:v>https://study-sns-next.vercel.app/start/rescue</x:v>
      </x:c>
    </x:row>
    <x:row r="21" ht="32" customHeight="1">
      <x:c r="A21" s="49"/>
      <x:c r="B21" s="59" t="str">
        <x:v>RYUTTERは勉強を記録し、仲間と続けるSNS。</x:v>
      </x:c>
      <x:c r="C21" s="59"/>
      <x:c r="D21" s="59"/>
      <x:c r="E21" s="59"/>
    </x:row>
    <x:row r="22" ht="32" customHeight="1">
      <x:c r="A22" s="49"/>
      <x:c r="B22" s="59" t="str">
        <x:v>課題は「RYUTTER取込」から、確認後にまとめて登録できます。</x:v>
      </x:c>
      <x:c r="C22" s="59"/>
      <x:c r="D22" s="59"/>
      <x:c r="E22" s="59"/>
    </x:row>
    <x:row r="23" ht="28" customHeight="1">
      <x:c r="A23" s="49"/>
      <x:c r="B23" s="49"/>
      <x:c r="C23" s="49"/>
      <x:c r="D23" s="49"/>
      <x:c r="E23" s="49"/>
    </x:row>
    <x:row r="24" ht="32" customHeight="1">
      <x:c r="A24" s="49"/>
      <x:c r="B24" s="59" t="str">
        <x:v>使い方</x:v>
      </x:c>
      <x:c r="C24" s="59"/>
      <x:c r="D24" s="59"/>
      <x:c r="E24" s="59"/>
    </x:row>
    <x:row r="25" ht="32" customHeight="1">
      <x:c r="A25" s="49"/>
      <x:c r="B25" s="59" t="str">
        <x:v>1. 課題入力の見本3行を自分の課題に置き換える。</x:v>
      </x:c>
      <x:c r="C25" s="59"/>
      <x:c r="D25" s="59"/>
      <x:c r="E25" s="59"/>
    </x:row>
    <x:row r="26" ht="32" customHeight="1">
      <x:c r="A26" s="49"/>
      <x:c r="B26" s="59" t="str">
        <x:v>2. 締切は日付、残り時間は分。終わったら「完了」。</x:v>
      </x:c>
      <x:c r="C26" s="59"/>
      <x:c r="D26" s="59"/>
      <x:c r="E26" s="59"/>
    </x:row>
    <x:row r="27" ht="32" customHeight="1">
      <x:c r="A27" s="49"/>
      <x:c r="B27" s="59" t="str">
        <x:v>3. 毎日このタブを開いて1件選ぶ。</x:v>
      </x:c>
      <x:c r="C27" s="59"/>
      <x:c r="D27" s="59"/>
      <x:c r="E27" s="59"/>
    </x:row>
    <x:row r="28" ht="32" customHeight="1">
      <x:c r="A28" s="49"/>
      <x:c r="B28" s="59" t="str">
        <x:v>Project Planは、締切順の21件を週単位で見る補助表。</x:v>
      </x:c>
      <x:c r="C28" s="59"/>
      <x:c r="D28" s="59"/>
      <x:c r="E28" s="59"/>
    </x:row>
    <x:row r="29" ht="28" customHeight="1">
      <x:c r="A29" s="49"/>
      <x:c r="B29" s="49"/>
      <x:c r="C29" s="49"/>
      <x:c r="D29" s="49"/>
      <x:c r="E29" s="49"/>
    </x:row>
    <x:row r="30" ht="32" customHeight="1">
      <x:c r="A30" s="49"/>
      <x:c r="B30" s="59" t="str">
        <x:v>Google Sheets：ファイルをDriveにアップロードして開く。</x:v>
      </x:c>
      <x:c r="C30" s="59"/>
      <x:c r="D30" s="59"/>
      <x:c r="E30" s="59"/>
    </x:row>
    <x:row r="31" ht="32" customHeight="1">
      <x:c r="A31" s="49"/>
      <x:c r="B31" s="59" t="str">
        <x:v>必要なら「Googleスプレッドシートとして保存」。</x:v>
      </x:c>
      <x:c r="C31" s="59"/>
      <x:c r="D31" s="59"/>
      <x:c r="E31" s="59"/>
    </x:row>
    <x:row r="32" ht="32" customHeight="1">
      <x:c r="A32" s="49"/>
      <x:c r="B32" s="59" t="str">
        <x:v>パソコンで初期設定、スマホでは今日の3件を確認。</x:v>
      </x:c>
      <x:c r="C32" s="59"/>
      <x:c r="D32" s="59"/>
      <x:c r="E32" s="59"/>
    </x:row>
    <x:row r="33" ht="28" customHeight="1">
      <x:c r="A33" s="49"/>
      <x:c r="B33" s="49"/>
      <x:c r="C33" s="49"/>
      <x:c r="D33" s="49"/>
      <x:c r="E33" s="49"/>
    </x:row>
    <x:row r="34" ht="32" customHeight="1">
      <x:c r="A34" s="49"/>
      <x:c r="B34" s="59" t="str">
        <x:v>無料 / 個人利用・編集OK / ファイルの再販売は不可。</x:v>
      </x:c>
      <x:c r="C34" s="59"/>
      <x:c r="D34" s="59"/>
      <x:c r="E34" s="59"/>
    </x:row>
    <x:row r="35" ht="32" customHeight="1">
      <x:c r="A35" s="49"/>
      <x:c r="B35" s="59" t="str">
        <x:v>友達には配布ページを共有。v1.0 / RYUTTER</x:v>
      </x:c>
      <x:c r="C35" s="59"/>
      <x:c r="D35" s="59"/>
      <x:c r="E35" s="59"/>
    </x:row>
    <x:row r="36" ht="28" customHeight="1">
      <x:c r="A36" s="49"/>
      <x:c r="B36" s="49"/>
      <x:c r="C36" s="49"/>
      <x:c r="D36" s="49"/>
      <x:c r="E36" s="49"/>
    </x:row>
  </x:sheetData>
  <x:mergeCells>
    <x:mergeCell ref="B15:E15"/>
    <x:mergeCell ref="B16:E16"/>
    <x:mergeCell ref="B17:E17"/>
    <x:mergeCell ref="B19:E19"/>
    <x:mergeCell ref="B21:E21"/>
    <x:mergeCell ref="B24:E24"/>
    <x:mergeCell ref="B25:E25"/>
    <x:mergeCell ref="B26:E26"/>
    <x:mergeCell ref="B27:E27"/>
    <x:mergeCell ref="B28:E28"/>
    <x:mergeCell ref="B30:E30"/>
    <x:mergeCell ref="B31:E31"/>
    <x:mergeCell ref="B32:E32"/>
    <x:mergeCell ref="B34:E34"/>
    <x:mergeCell ref="B35:E35"/>
    <x:mergeCell ref="B20:E20"/>
    <x:mergeCell ref="B22:E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5" hidden="0" customWidth="1"/>
    <x:col min="7" max="7" width="18" hidden="0" customWidth="1"/>
    <x:col min="8" max="8" width="18" hidden="0" customWidth="1"/>
  </x:cols>
  <x:sheetData>
    <x:row r="1" ht="28" customHeight="1">
      <x:c r="A1" s="49"/>
      <x:c r="B1" s="49"/>
      <x:c r="C1" s="49"/>
      <x:c r="D1" s="49"/>
      <x:c r="E1" s="49"/>
      <x:c r="F1" s="49"/>
      <x:c r="G1" s="49"/>
      <x:c r="H1" s="49"/>
    </x:row>
    <x:row r="2" ht="28" customHeight="1">
      <x:c r="A2" s="60" t="str">
        <x:v>課題入力 / 最大200件</x:v>
      </x:c>
      <x:c r="B2" s="49"/>
      <x:c r="C2" s="49"/>
      <x:c r="D2" s="49"/>
      <x:c r="E2" s="49"/>
      <x:c r="F2" s="49"/>
      <x:c r="G2" s="49"/>
      <x:c r="H2" s="49"/>
    </x:row>
    <x:row r="3" ht="28" customHeight="1">
      <x:c r="A3" s="49" t="str">
        <x:v>黄色だけ入力。最初の3行は見本です。</x:v>
      </x:c>
      <x:c r="B3" s="49"/>
      <x:c r="C3" s="49"/>
      <x:c r="D3" s="49"/>
      <x:c r="E3" s="49"/>
      <x:c r="F3" s="49" t="str">
        <x:v>G〜M列は計算用・編集不要</x:v>
      </x:c>
      <x:c r="G3" s="49"/>
      <x:c r="H3" s="49"/>
    </x:row>
    <x:row r="4" ht="28" customHeight="1">
      <x:c r="A4" s="49"/>
      <x:c r="B4" s="49"/>
      <x:c r="C4" s="49"/>
      <x:c r="D4" s="49"/>
      <x:c r="E4" s="49"/>
      <x:c r="F4" s="49"/>
      <x:c r="G4" s="49"/>
      <x:c r="H4" s="49"/>
    </x:row>
    <x:row r="5" ht="30" customHeight="1">
      <x:c r="A5" s="53" t="str">
        <x:v>課題名</x:v>
      </x:c>
      <x:c r="B5" s="53" t="str">
        <x:v>締切日</x:v>
      </x:c>
      <x:c r="C5" s="53" t="str">
        <x:v>残り時間・分</x:v>
      </x:c>
      <x:c r="D5" s="53" t="str">
        <x:v>進み具合</x:v>
      </x:c>
      <x:c r="E5" s="53" t="str">
        <x:v>締切の状態</x:v>
      </x:c>
      <x:c r="F5" s="53" t="str">
        <x:v>最初の小さな一歩（任意）</x:v>
      </x:c>
      <x:c r="G5" s="53" t="str">
        <x:v>計算用</x:v>
      </x:c>
      <x:c r="H5" s="49" t="str">
        <x:v>対象</x:v>
      </x:c>
      <x:c r="I5" t="str">
        <x:v>週の分</x:v>
      </x:c>
      <x:c r="J5" t="str">
        <x:v>要修正</x:v>
      </x:c>
      <x:c r="K5" t="str">
        <x:v>完了</x:v>
      </x:c>
      <x:c r="L5" t="str">
        <x:v>件数</x:v>
      </x:c>
      <x:c r="M5" t="str">
        <x:v>超過</x:v>
      </x:c>
    </x:row>
    <x:row r="6" ht="28" customHeight="1">
      <x:c r="A6" s="62" t="str">
        <x:v>見本：英語レポート</x:v>
      </x:c>
      <x:c r="B6" s="63" t="n">
        <x:f>TODAY()+1</x:f>
        <x:v>46272</x:v>
      </x:c>
      <x:c r="C6" s="65" t="n">
        <x:v>60</x:v>
      </x:c>
      <x:c r="D6" s="61" t="str">
        <x:v>未着手</x:v>
      </x:c>
      <x:c r="E6" s="49" t="str">
        <x:f>IF(A6="","",IF(D6="完了","完了",IF(AND(ISNUMBER(B6),B6&gt;=DATE(2000,1,1),B6&lt;=DATE(2100,12,31),ISNUMBER(C6),C6&gt;0,C6&lt;=100000,C6=INT(C6),OR(D6="未着手",D6="進行中")),IF(INT(B6)&lt;'今日の3件'!$C$5,"期限超過",IF(INT(B6)='今日の3件'!$C$5,"今日締切",IF(INT(B6)&lt;='今日の3件'!$C$5+3,"3日以内","これから"))),"入力確認")))</x:f>
        <x:v>3日以内</x:v>
      </x:c>
      <x:c r="F6" s="61" t="str">
        <x:v>資料を1つ開く</x:v>
      </x:c>
      <x:c r="G6" s="66" t="n">
        <x:f>IF(OR(A6="",D6="完了",E6="入力確認"),999999999,INT(B6)*1000+ROW())</x:f>
        <x:v>46272006</x:v>
      </x:c>
      <x:c r="H6" s="66" t="n">
        <x:f>IF(G6=999999999,0,1)</x:f>
        <x:v>1</x:v>
      </x:c>
      <x:c r="I6" s="67" t="n">
        <x:f>IF(H6=0,0,IF(B6&lt;='今日の3件'!$C$5+7-WEEKDAY('今日の3件'!$C$5,2),C6,0))</x:f>
        <x:v>0</x:v>
      </x:c>
      <x:c r="J6" s="67" t="n">
        <x:f>IF(E6="入力確認",1,0)</x:f>
        <x:v>0</x:v>
      </x:c>
      <x:c r="K6" s="67" t="n">
        <x:f>IF(AND(A6&lt;&gt;"",D6="完了"),1,0)</x:f>
        <x:v>0</x:v>
      </x:c>
      <x:c r="L6" s="67" t="n">
        <x:f>IF(A6="",0,1)</x:f>
        <x:v>1</x:v>
      </x:c>
      <x:c r="M6" s="67" t="n">
        <x:f>IF(E6="期限超過",1,0)</x:f>
        <x:v>0</x:v>
      </x:c>
    </x:row>
    <x:row r="7" ht="28" customHeight="1">
      <x:c r="A7" s="62" t="str">
        <x:v>見本：統計の演習</x:v>
      </x:c>
      <x:c r="B7" s="63" t="n">
        <x:f>TODAY()+3</x:f>
        <x:v>46274</x:v>
      </x:c>
      <x:c r="C7" s="65" t="n">
        <x:v>30</x:v>
      </x:c>
      <x:c r="D7" s="61" t="str">
        <x:v>進行中</x:v>
      </x:c>
      <x:c r="E7" s="49" t="str">
        <x:f>IF(A7="","",IF(D7="完了","完了",IF(AND(ISNUMBER(B7),B7&gt;=DATE(2000,1,1),B7&lt;=DATE(2100,12,31),ISNUMBER(C7),C7&gt;0,C7&lt;=100000,C7=INT(C7),OR(D7="未着手",D7="進行中")),IF(INT(B7)&lt;'今日の3件'!$C$5,"期限超過",IF(INT(B7)='今日の3件'!$C$5,"今日締切",IF(INT(B7)&lt;='今日の3件'!$C$5+3,"3日以内","これから"))),"入力確認")))</x:f>
        <x:v>3日以内</x:v>
      </x:c>
      <x:c r="F7" s="61" t="str">
        <x:v>問1だけ解く</x:v>
      </x:c>
      <x:c r="G7" s="66" t="n">
        <x:f>IF(OR(A7="",D7="完了",E7="入力確認"),999999999,INT(B7)*1000+ROW())</x:f>
        <x:v>46274007</x:v>
      </x:c>
      <x:c r="H7" s="66" t="n">
        <x:f>IF(G7=999999999,0,1)</x:f>
        <x:v>1</x:v>
      </x:c>
      <x:c r="I7" s="67" t="n">
        <x:f>IF(H7=0,0,IF(B7&lt;='今日の3件'!$C$5+7-WEEKDAY('今日の3件'!$C$5,2),C7,0))</x:f>
        <x:v>0</x:v>
      </x:c>
      <x:c r="J7" s="67" t="n">
        <x:f>IF(E7="入力確認",1,0)</x:f>
        <x:v>0</x:v>
      </x:c>
      <x:c r="K7" s="67" t="n">
        <x:f>IF(AND(A7&lt;&gt;"",D7="完了"),1,0)</x:f>
        <x:v>0</x:v>
      </x:c>
      <x:c r="L7" s="67" t="n">
        <x:f>IF(A7="",0,1)</x:f>
        <x:v>1</x:v>
      </x:c>
      <x:c r="M7" s="67" t="n">
        <x:f>IF(E7="期限超過",1,0)</x:f>
        <x:v>0</x:v>
      </x:c>
    </x:row>
    <x:row r="8" ht="28" customHeight="1">
      <x:c r="A8" s="62" t="str">
        <x:v>見本：ゼミの資料</x:v>
      </x:c>
      <x:c r="B8" s="63" t="n">
        <x:f>TODAY()+6</x:f>
        <x:v>46277</x:v>
      </x:c>
      <x:c r="C8" s="65" t="n">
        <x:v>90</x:v>
      </x:c>
      <x:c r="D8" s="61" t="str">
        <x:v>未着手</x:v>
      </x:c>
      <x:c r="E8" s="49" t="str">
        <x:f>IF(A8="","",IF(D8="完了","完了",IF(AND(ISNUMBER(B8),B8&gt;=DATE(2000,1,1),B8&lt;=DATE(2100,12,31),ISNUMBER(C8),C8&gt;0,C8&lt;=100000,C8=INT(C8),OR(D8="未着手",D8="進行中")),IF(INT(B8)&lt;'今日の3件'!$C$5,"期限超過",IF(INT(B8)='今日の3件'!$C$5,"今日締切",IF(INT(B8)&lt;='今日の3件'!$C$5+3,"3日以内","これから"))),"入力確認")))</x:f>
        <x:v>これから</x:v>
      </x:c>
      <x:c r="F8" s="61" t="str">
        <x:v>見出しを3つ書く</x:v>
      </x:c>
      <x:c r="G8" s="66" t="n">
        <x:f>IF(OR(A8="",D8="完了",E8="入力確認"),999999999,INT(B8)*1000+ROW())</x:f>
        <x:v>46277008</x:v>
      </x:c>
      <x:c r="H8" s="66" t="n">
        <x:f>IF(G8=999999999,0,1)</x:f>
        <x:v>1</x:v>
      </x:c>
      <x:c r="I8" s="67" t="n">
        <x:f>IF(H8=0,0,IF(B8&lt;='今日の3件'!$C$5+7-WEEKDAY('今日の3件'!$C$5,2),C8,0))</x:f>
        <x:v>0</x:v>
      </x:c>
      <x:c r="J8" s="67" t="n">
        <x:f>IF(E8="入力確認",1,0)</x:f>
        <x:v>0</x:v>
      </x:c>
      <x:c r="K8" s="67" t="n">
        <x:f>IF(AND(A8&lt;&gt;"",D8="完了"),1,0)</x:f>
        <x:v>0</x:v>
      </x:c>
      <x:c r="L8" s="67" t="n">
        <x:f>IF(A8="",0,1)</x:f>
        <x:v>1</x:v>
      </x:c>
      <x:c r="M8" s="67" t="n">
        <x:f>IF(E8="期限超過",1,0)</x:f>
        <x:v>0</x:v>
      </x:c>
    </x:row>
    <x:row r="9" ht="28" customHeight="1">
      <x:c r="A9" s="62"/>
      <x:c r="B9" s="63"/>
      <x:c r="C9" s="65"/>
      <x:c r="D9" s="61"/>
      <x:c r="E9" s="49" t="str">
        <x:f>IF(A9="","",IF(D9="完了","完了",IF(AND(ISNUMBER(B9),B9&gt;=DATE(2000,1,1),B9&lt;=DATE(2100,12,31),ISNUMBER(C9),C9&gt;0,C9&lt;=100000,C9=INT(C9),OR(D9="未着手",D9="進行中")),IF(INT(B9)&lt;'今日の3件'!$C$5,"期限超過",IF(INT(B9)='今日の3件'!$C$5,"今日締切",IF(INT(B9)&lt;='今日の3件'!$C$5+3,"3日以内","これから"))),"入力確認")))</x:f>
      </x:c>
      <x:c r="F9" s="61"/>
      <x:c r="G9" s="66" t="n">
        <x:f>IF(OR(A9="",D9="完了",E9="入力確認"),999999999,INT(B9)*1000+ROW())</x:f>
        <x:v>999999999</x:v>
      </x:c>
      <x:c r="H9" s="66" t="n">
        <x:f>IF(G9=999999999,0,1)</x:f>
        <x:v>0</x:v>
      </x:c>
      <x:c r="I9" s="67" t="n">
        <x:f>IF(H9=0,0,IF(B9&lt;='今日の3件'!$C$5+7-WEEKDAY('今日の3件'!$C$5,2),C9,0))</x:f>
        <x:v>0</x:v>
      </x:c>
      <x:c r="J9" s="67" t="n">
        <x:f>IF(E9="入力確認",1,0)</x:f>
        <x:v>0</x:v>
      </x:c>
      <x:c r="K9" s="67" t="n">
        <x:f>IF(AND(A9&lt;&gt;"",D9="完了"),1,0)</x:f>
        <x:v>0</x:v>
      </x:c>
      <x:c r="L9" s="67" t="n">
        <x:f>IF(A9="",0,1)</x:f>
        <x:v>0</x:v>
      </x:c>
      <x:c r="M9" s="67" t="n">
        <x:f>IF(E9="期限超過",1,0)</x:f>
        <x:v>0</x:v>
      </x:c>
    </x:row>
    <x:row r="10" ht="28" customHeight="1">
      <x:c r="A10" s="62"/>
      <x:c r="B10" s="63"/>
      <x:c r="C10" s="65"/>
      <x:c r="D10" s="61"/>
      <x:c r="E10" s="49" t="str">
        <x:f>IF(A10="","",IF(D10="完了","完了",IF(AND(ISNUMBER(B10),B10&gt;=DATE(2000,1,1),B10&lt;=DATE(2100,12,31),ISNUMBER(C10),C10&gt;0,C10&lt;=100000,C10=INT(C10),OR(D10="未着手",D10="進行中")),IF(INT(B10)&lt;'今日の3件'!$C$5,"期限超過",IF(INT(B10)='今日の3件'!$C$5,"今日締切",IF(INT(B10)&lt;='今日の3件'!$C$5+3,"3日以内","これから"))),"入力確認")))</x:f>
      </x:c>
      <x:c r="F10" s="61"/>
      <x:c r="G10" s="66" t="n">
        <x:f>IF(OR(A10="",D10="完了",E10="入力確認"),999999999,INT(B10)*1000+ROW())</x:f>
        <x:v>999999999</x:v>
      </x:c>
      <x:c r="H10" s="66" t="n">
        <x:f>IF(G10=999999999,0,1)</x:f>
        <x:v>0</x:v>
      </x:c>
      <x:c r="I10" s="67" t="n">
        <x:f>IF(H10=0,0,IF(B10&lt;='今日の3件'!$C$5+7-WEEKDAY('今日の3件'!$C$5,2),C10,0))</x:f>
        <x:v>0</x:v>
      </x:c>
      <x:c r="J10" s="67" t="n">
        <x:f>IF(E10="入力確認",1,0)</x:f>
        <x:v>0</x:v>
      </x:c>
      <x:c r="K10" s="67" t="n">
        <x:f>IF(AND(A10&lt;&gt;"",D10="完了"),1,0)</x:f>
        <x:v>0</x:v>
      </x:c>
      <x:c r="L10" s="67" t="n">
        <x:f>IF(A10="",0,1)</x:f>
        <x:v>0</x:v>
      </x:c>
      <x:c r="M10" s="67" t="n">
        <x:f>IF(E10="期限超過",1,0)</x:f>
        <x:v>0</x:v>
      </x:c>
    </x:row>
    <x:row r="11" ht="28" customHeight="1">
      <x:c r="A11" s="62"/>
      <x:c r="B11" s="63"/>
      <x:c r="C11" s="65"/>
      <x:c r="D11" s="61"/>
      <x:c r="E11" s="49" t="str">
        <x:f>IF(A11="","",IF(D11="完了","完了",IF(AND(ISNUMBER(B11),B11&gt;=DATE(2000,1,1),B11&lt;=DATE(2100,12,31),ISNUMBER(C11),C11&gt;0,C11&lt;=100000,C11=INT(C11),OR(D11="未着手",D11="進行中")),IF(INT(B11)&lt;'今日の3件'!$C$5,"期限超過",IF(INT(B11)='今日の3件'!$C$5,"今日締切",IF(INT(B11)&lt;='今日の3件'!$C$5+3,"3日以内","これから"))),"入力確認")))</x:f>
      </x:c>
      <x:c r="F11" s="61"/>
      <x:c r="G11" s="66" t="n">
        <x:f>IF(OR(A11="",D11="完了",E11="入力確認"),999999999,INT(B11)*1000+ROW())</x:f>
        <x:v>999999999</x:v>
      </x:c>
      <x:c r="H11" s="66" t="n">
        <x:f>IF(G11=999999999,0,1)</x:f>
        <x:v>0</x:v>
      </x:c>
      <x:c r="I11" s="67" t="n">
        <x:f>IF(H11=0,0,IF(B11&lt;='今日の3件'!$C$5+7-WEEKDAY('今日の3件'!$C$5,2),C11,0))</x:f>
        <x:v>0</x:v>
      </x:c>
      <x:c r="J11" s="67" t="n">
        <x:f>IF(E11="入力確認",1,0)</x:f>
        <x:v>0</x:v>
      </x:c>
      <x:c r="K11" s="67" t="n">
        <x:f>IF(AND(A11&lt;&gt;"",D11="完了"),1,0)</x:f>
        <x:v>0</x:v>
      </x:c>
      <x:c r="L11" s="67" t="n">
        <x:f>IF(A11="",0,1)</x:f>
        <x:v>0</x:v>
      </x:c>
      <x:c r="M11" s="67" t="n">
        <x:f>IF(E11="期限超過",1,0)</x:f>
        <x:v>0</x:v>
      </x:c>
    </x:row>
    <x:row r="12" ht="28" customHeight="1">
      <x:c r="A12" s="62"/>
      <x:c r="B12" s="63"/>
      <x:c r="C12" s="65"/>
      <x:c r="D12" s="61"/>
      <x:c r="E12" s="49" t="str">
        <x:f>IF(A12="","",IF(D12="完了","完了",IF(AND(ISNUMBER(B12),B12&gt;=DATE(2000,1,1),B12&lt;=DATE(2100,12,31),ISNUMBER(C12),C12&gt;0,C12&lt;=100000,C12=INT(C12),OR(D12="未着手",D12="進行中")),IF(INT(B12)&lt;'今日の3件'!$C$5,"期限超過",IF(INT(B12)='今日の3件'!$C$5,"今日締切",IF(INT(B12)&lt;='今日の3件'!$C$5+3,"3日以内","これから"))),"入力確認")))</x:f>
      </x:c>
      <x:c r="F12" s="61"/>
      <x:c r="G12" s="66" t="n">
        <x:f>IF(OR(A12="",D12="完了",E12="入力確認"),999999999,INT(B12)*1000+ROW())</x:f>
        <x:v>999999999</x:v>
      </x:c>
      <x:c r="H12" s="66" t="n">
        <x:f>IF(G12=999999999,0,1)</x:f>
        <x:v>0</x:v>
      </x:c>
      <x:c r="I12" s="67" t="n">
        <x:f>IF(H12=0,0,IF(B12&lt;='今日の3件'!$C$5+7-WEEKDAY('今日の3件'!$C$5,2),C12,0))</x:f>
        <x:v>0</x:v>
      </x:c>
      <x:c r="J12" s="67" t="n">
        <x:f>IF(E12="入力確認",1,0)</x:f>
        <x:v>0</x:v>
      </x:c>
      <x:c r="K12" s="67" t="n">
        <x:f>IF(AND(A12&lt;&gt;"",D12="完了"),1,0)</x:f>
        <x:v>0</x:v>
      </x:c>
      <x:c r="L12" s="67" t="n">
        <x:f>IF(A12="",0,1)</x:f>
        <x:v>0</x:v>
      </x:c>
      <x:c r="M12" s="67" t="n">
        <x:f>IF(E12="期限超過",1,0)</x:f>
        <x:v>0</x:v>
      </x:c>
    </x:row>
    <x:row r="13" ht="28" customHeight="1">
      <x:c r="A13" s="62"/>
      <x:c r="B13" s="63"/>
      <x:c r="C13" s="65"/>
      <x:c r="D13" s="61"/>
      <x:c r="E13" s="49" t="str">
        <x:f>IF(A13="","",IF(D13="完了","完了",IF(AND(ISNUMBER(B13),B13&gt;=DATE(2000,1,1),B13&lt;=DATE(2100,12,31),ISNUMBER(C13),C13&gt;0,C13&lt;=100000,C13=INT(C13),OR(D13="未着手",D13="進行中")),IF(INT(B13)&lt;'今日の3件'!$C$5,"期限超過",IF(INT(B13)='今日の3件'!$C$5,"今日締切",IF(INT(B13)&lt;='今日の3件'!$C$5+3,"3日以内","これから"))),"入力確認")))</x:f>
      </x:c>
      <x:c r="F13" s="61"/>
      <x:c r="G13" s="66" t="n">
        <x:f>IF(OR(A13="",D13="完了",E13="入力確認"),999999999,INT(B13)*1000+ROW())</x:f>
        <x:v>999999999</x:v>
      </x:c>
      <x:c r="H13" s="66" t="n">
        <x:f>IF(G13=999999999,0,1)</x:f>
        <x:v>0</x:v>
      </x:c>
      <x:c r="I13" s="67" t="n">
        <x:f>IF(H13=0,0,IF(B13&lt;='今日の3件'!$C$5+7-WEEKDAY('今日の3件'!$C$5,2),C13,0))</x:f>
        <x:v>0</x:v>
      </x:c>
      <x:c r="J13" s="67" t="n">
        <x:f>IF(E13="入力確認",1,0)</x:f>
        <x:v>0</x:v>
      </x:c>
      <x:c r="K13" s="67" t="n">
        <x:f>IF(AND(A13&lt;&gt;"",D13="完了"),1,0)</x:f>
        <x:v>0</x:v>
      </x:c>
      <x:c r="L13" s="67" t="n">
        <x:f>IF(A13="",0,1)</x:f>
        <x:v>0</x:v>
      </x:c>
      <x:c r="M13" s="67" t="n">
        <x:f>IF(E13="期限超過",1,0)</x:f>
        <x:v>0</x:v>
      </x:c>
    </x:row>
    <x:row r="14" ht="28" customHeight="1">
      <x:c r="A14" s="62"/>
      <x:c r="B14" s="63"/>
      <x:c r="C14" s="65"/>
      <x:c r="D14" s="61"/>
      <x:c r="E14" s="49" t="str">
        <x:f>IF(A14="","",IF(D14="完了","完了",IF(AND(ISNUMBER(B14),B14&gt;=DATE(2000,1,1),B14&lt;=DATE(2100,12,31),ISNUMBER(C14),C14&gt;0,C14&lt;=100000,C14=INT(C14),OR(D14="未着手",D14="進行中")),IF(INT(B14)&lt;'今日の3件'!$C$5,"期限超過",IF(INT(B14)='今日の3件'!$C$5,"今日締切",IF(INT(B14)&lt;='今日の3件'!$C$5+3,"3日以内","これから"))),"入力確認")))</x:f>
      </x:c>
      <x:c r="F14" s="61"/>
      <x:c r="G14" s="66" t="n">
        <x:f>IF(OR(A14="",D14="完了",E14="入力確認"),999999999,INT(B14)*1000+ROW())</x:f>
        <x:v>999999999</x:v>
      </x:c>
      <x:c r="H14" s="66" t="n">
        <x:f>IF(G14=999999999,0,1)</x:f>
        <x:v>0</x:v>
      </x:c>
      <x:c r="I14" s="67" t="n">
        <x:f>IF(H14=0,0,IF(B14&lt;='今日の3件'!$C$5+7-WEEKDAY('今日の3件'!$C$5,2),C14,0))</x:f>
        <x:v>0</x:v>
      </x:c>
      <x:c r="J14" s="67" t="n">
        <x:f>IF(E14="入力確認",1,0)</x:f>
        <x:v>0</x:v>
      </x:c>
      <x:c r="K14" s="67" t="n">
        <x:f>IF(AND(A14&lt;&gt;"",D14="完了"),1,0)</x:f>
        <x:v>0</x:v>
      </x:c>
      <x:c r="L14" s="67" t="n">
        <x:f>IF(A14="",0,1)</x:f>
        <x:v>0</x:v>
      </x:c>
      <x:c r="M14" s="67" t="n">
        <x:f>IF(E14="期限超過",1,0)</x:f>
        <x:v>0</x:v>
      </x:c>
    </x:row>
    <x:row r="15" ht="28" customHeight="1">
      <x:c r="A15" s="62"/>
      <x:c r="B15" s="63"/>
      <x:c r="C15" s="65"/>
      <x:c r="D15" s="61"/>
      <x:c r="E15" s="49" t="str">
        <x:f>IF(A15="","",IF(D15="完了","完了",IF(AND(ISNUMBER(B15),B15&gt;=DATE(2000,1,1),B15&lt;=DATE(2100,12,31),ISNUMBER(C15),C15&gt;0,C15&lt;=100000,C15=INT(C15),OR(D15="未着手",D15="進行中")),IF(INT(B15)&lt;'今日の3件'!$C$5,"期限超過",IF(INT(B15)='今日の3件'!$C$5,"今日締切",IF(INT(B15)&lt;='今日の3件'!$C$5+3,"3日以内","これから"))),"入力確認")))</x:f>
      </x:c>
      <x:c r="F15" s="61"/>
      <x:c r="G15" s="66" t="n">
        <x:f>IF(OR(A15="",D15="完了",E15="入力確認"),999999999,INT(B15)*1000+ROW())</x:f>
        <x:v>999999999</x:v>
      </x:c>
      <x:c r="H15" s="66" t="n">
        <x:f>IF(G15=999999999,0,1)</x:f>
        <x:v>0</x:v>
      </x:c>
      <x:c r="I15" s="67" t="n">
        <x:f>IF(H15=0,0,IF(B15&lt;='今日の3件'!$C$5+7-WEEKDAY('今日の3件'!$C$5,2),C15,0))</x:f>
        <x:v>0</x:v>
      </x:c>
      <x:c r="J15" s="67" t="n">
        <x:f>IF(E15="入力確認",1,0)</x:f>
        <x:v>0</x:v>
      </x:c>
      <x:c r="K15" s="67" t="n">
        <x:f>IF(AND(A15&lt;&gt;"",D15="完了"),1,0)</x:f>
        <x:v>0</x:v>
      </x:c>
      <x:c r="L15" s="67" t="n">
        <x:f>IF(A15="",0,1)</x:f>
        <x:v>0</x:v>
      </x:c>
      <x:c r="M15" s="67" t="n">
        <x:f>IF(E15="期限超過",1,0)</x:f>
        <x:v>0</x:v>
      </x:c>
    </x:row>
    <x:row r="16" ht="28" customHeight="1">
      <x:c r="A16" s="62"/>
      <x:c r="B16" s="63"/>
      <x:c r="C16" s="65"/>
      <x:c r="D16" s="61"/>
      <x:c r="E16" s="49" t="str">
        <x:f>IF(A16="","",IF(D16="完了","完了",IF(AND(ISNUMBER(B16),B16&gt;=DATE(2000,1,1),B16&lt;=DATE(2100,12,31),ISNUMBER(C16),C16&gt;0,C16&lt;=100000,C16=INT(C16),OR(D16="未着手",D16="進行中")),IF(INT(B16)&lt;'今日の3件'!$C$5,"期限超過",IF(INT(B16)='今日の3件'!$C$5,"今日締切",IF(INT(B16)&lt;='今日の3件'!$C$5+3,"3日以内","これから"))),"入力確認")))</x:f>
      </x:c>
      <x:c r="F16" s="61"/>
      <x:c r="G16" s="66" t="n">
        <x:f>IF(OR(A16="",D16="完了",E16="入力確認"),999999999,INT(B16)*1000+ROW())</x:f>
        <x:v>999999999</x:v>
      </x:c>
      <x:c r="H16" s="66" t="n">
        <x:f>IF(G16=999999999,0,1)</x:f>
        <x:v>0</x:v>
      </x:c>
      <x:c r="I16" s="67" t="n">
        <x:f>IF(H16=0,0,IF(B16&lt;='今日の3件'!$C$5+7-WEEKDAY('今日の3件'!$C$5,2),C16,0))</x:f>
        <x:v>0</x:v>
      </x:c>
      <x:c r="J16" s="67" t="n">
        <x:f>IF(E16="入力確認",1,0)</x:f>
        <x:v>0</x:v>
      </x:c>
      <x:c r="K16" s="67" t="n">
        <x:f>IF(AND(A16&lt;&gt;"",D16="完了"),1,0)</x:f>
        <x:v>0</x:v>
      </x:c>
      <x:c r="L16" s="67" t="n">
        <x:f>IF(A16="",0,1)</x:f>
        <x:v>0</x:v>
      </x:c>
      <x:c r="M16" s="67" t="n">
        <x:f>IF(E16="期限超過",1,0)</x:f>
        <x:v>0</x:v>
      </x:c>
    </x:row>
    <x:row r="17" ht="28" customHeight="1">
      <x:c r="A17" s="62"/>
      <x:c r="B17" s="63"/>
      <x:c r="C17" s="65"/>
      <x:c r="D17" s="61"/>
      <x:c r="E17" s="49" t="str">
        <x:f>IF(A17="","",IF(D17="完了","完了",IF(AND(ISNUMBER(B17),B17&gt;=DATE(2000,1,1),B17&lt;=DATE(2100,12,31),ISNUMBER(C17),C17&gt;0,C17&lt;=100000,C17=INT(C17),OR(D17="未着手",D17="進行中")),IF(INT(B17)&lt;'今日の3件'!$C$5,"期限超過",IF(INT(B17)='今日の3件'!$C$5,"今日締切",IF(INT(B17)&lt;='今日の3件'!$C$5+3,"3日以内","これから"))),"入力確認")))</x:f>
      </x:c>
      <x:c r="F17" s="61"/>
      <x:c r="G17" s="66" t="n">
        <x:f>IF(OR(A17="",D17="完了",E17="入力確認"),999999999,INT(B17)*1000+ROW())</x:f>
        <x:v>999999999</x:v>
      </x:c>
      <x:c r="H17" s="66" t="n">
        <x:f>IF(G17=999999999,0,1)</x:f>
        <x:v>0</x:v>
      </x:c>
      <x:c r="I17" s="67" t="n">
        <x:f>IF(H17=0,0,IF(B17&lt;='今日の3件'!$C$5+7-WEEKDAY('今日の3件'!$C$5,2),C17,0))</x:f>
        <x:v>0</x:v>
      </x:c>
      <x:c r="J17" s="67" t="n">
        <x:f>IF(E17="入力確認",1,0)</x:f>
        <x:v>0</x:v>
      </x:c>
      <x:c r="K17" s="67" t="n">
        <x:f>IF(AND(A17&lt;&gt;"",D17="完了"),1,0)</x:f>
        <x:v>0</x:v>
      </x:c>
      <x:c r="L17" s="67" t="n">
        <x:f>IF(A17="",0,1)</x:f>
        <x:v>0</x:v>
      </x:c>
      <x:c r="M17" s="67" t="n">
        <x:f>IF(E17="期限超過",1,0)</x:f>
        <x:v>0</x:v>
      </x:c>
    </x:row>
    <x:row r="18" ht="28" customHeight="1">
      <x:c r="A18" s="62"/>
      <x:c r="B18" s="63"/>
      <x:c r="C18" s="65"/>
      <x:c r="D18" s="61"/>
      <x:c r="E18" s="49" t="str">
        <x:f>IF(A18="","",IF(D18="完了","完了",IF(AND(ISNUMBER(B18),B18&gt;=DATE(2000,1,1),B18&lt;=DATE(2100,12,31),ISNUMBER(C18),C18&gt;0,C18&lt;=100000,C18=INT(C18),OR(D18="未着手",D18="進行中")),IF(INT(B18)&lt;'今日の3件'!$C$5,"期限超過",IF(INT(B18)='今日の3件'!$C$5,"今日締切",IF(INT(B18)&lt;='今日の3件'!$C$5+3,"3日以内","これから"))),"入力確認")))</x:f>
      </x:c>
      <x:c r="F18" s="61"/>
      <x:c r="G18" s="66" t="n">
        <x:f>IF(OR(A18="",D18="完了",E18="入力確認"),999999999,INT(B18)*1000+ROW())</x:f>
        <x:v>999999999</x:v>
      </x:c>
      <x:c r="H18" s="66" t="n">
        <x:f>IF(G18=999999999,0,1)</x:f>
        <x:v>0</x:v>
      </x:c>
      <x:c r="I18" s="67" t="n">
        <x:f>IF(H18=0,0,IF(B18&lt;='今日の3件'!$C$5+7-WEEKDAY('今日の3件'!$C$5,2),C18,0))</x:f>
        <x:v>0</x:v>
      </x:c>
      <x:c r="J18" s="67" t="n">
        <x:f>IF(E18="入力確認",1,0)</x:f>
        <x:v>0</x:v>
      </x:c>
      <x:c r="K18" s="67" t="n">
        <x:f>IF(AND(A18&lt;&gt;"",D18="完了"),1,0)</x:f>
        <x:v>0</x:v>
      </x:c>
      <x:c r="L18" s="67" t="n">
        <x:f>IF(A18="",0,1)</x:f>
        <x:v>0</x:v>
      </x:c>
      <x:c r="M18" s="67" t="n">
        <x:f>IF(E18="期限超過",1,0)</x:f>
        <x:v>0</x:v>
      </x:c>
    </x:row>
    <x:row r="19" ht="28" customHeight="1">
      <x:c r="A19" s="62"/>
      <x:c r="B19" s="63"/>
      <x:c r="C19" s="65"/>
      <x:c r="D19" s="61"/>
      <x:c r="E19" s="49" t="str">
        <x:f>IF(A19="","",IF(D19="完了","完了",IF(AND(ISNUMBER(B19),B19&gt;=DATE(2000,1,1),B19&lt;=DATE(2100,12,31),ISNUMBER(C19),C19&gt;0,C19&lt;=100000,C19=INT(C19),OR(D19="未着手",D19="進行中")),IF(INT(B19)&lt;'今日の3件'!$C$5,"期限超過",IF(INT(B19)='今日の3件'!$C$5,"今日締切",IF(INT(B19)&lt;='今日の3件'!$C$5+3,"3日以内","これから"))),"入力確認")))</x:f>
      </x:c>
      <x:c r="F19" s="61"/>
      <x:c r="G19" s="66" t="n">
        <x:f>IF(OR(A19="",D19="完了",E19="入力確認"),999999999,INT(B19)*1000+ROW())</x:f>
        <x:v>999999999</x:v>
      </x:c>
      <x:c r="H19" s="66" t="n">
        <x:f>IF(G19=999999999,0,1)</x:f>
        <x:v>0</x:v>
      </x:c>
      <x:c r="I19" s="67" t="n">
        <x:f>IF(H19=0,0,IF(B19&lt;='今日の3件'!$C$5+7-WEEKDAY('今日の3件'!$C$5,2),C19,0))</x:f>
        <x:v>0</x:v>
      </x:c>
      <x:c r="J19" s="67" t="n">
        <x:f>IF(E19="入力確認",1,0)</x:f>
        <x:v>0</x:v>
      </x:c>
      <x:c r="K19" s="67" t="n">
        <x:f>IF(AND(A19&lt;&gt;"",D19="完了"),1,0)</x:f>
        <x:v>0</x:v>
      </x:c>
      <x:c r="L19" s="67" t="n">
        <x:f>IF(A19="",0,1)</x:f>
        <x:v>0</x:v>
      </x:c>
      <x:c r="M19" s="67" t="n">
        <x:f>IF(E19="期限超過",1,0)</x:f>
        <x:v>0</x:v>
      </x:c>
    </x:row>
    <x:row r="20" ht="28" customHeight="1">
      <x:c r="A20" s="62"/>
      <x:c r="B20" s="63"/>
      <x:c r="C20" s="65"/>
      <x:c r="D20" s="61"/>
      <x:c r="E20" s="49" t="str">
        <x:f>IF(A20="","",IF(D20="完了","完了",IF(AND(ISNUMBER(B20),B20&gt;=DATE(2000,1,1),B20&lt;=DATE(2100,12,31),ISNUMBER(C20),C20&gt;0,C20&lt;=100000,C20=INT(C20),OR(D20="未着手",D20="進行中")),IF(INT(B20)&lt;'今日の3件'!$C$5,"期限超過",IF(INT(B20)='今日の3件'!$C$5,"今日締切",IF(INT(B20)&lt;='今日の3件'!$C$5+3,"3日以内","これから"))),"入力確認")))</x:f>
      </x:c>
      <x:c r="F20" s="61"/>
      <x:c r="G20" s="66" t="n">
        <x:f>IF(OR(A20="",D20="完了",E20="入力確認"),999999999,INT(B20)*1000+ROW())</x:f>
        <x:v>999999999</x:v>
      </x:c>
      <x:c r="H20" s="66" t="n">
        <x:f>IF(G20=999999999,0,1)</x:f>
        <x:v>0</x:v>
      </x:c>
      <x:c r="I20" s="67" t="n">
        <x:f>IF(H20=0,0,IF(B20&lt;='今日の3件'!$C$5+7-WEEKDAY('今日の3件'!$C$5,2),C20,0))</x:f>
        <x:v>0</x:v>
      </x:c>
      <x:c r="J20" s="67" t="n">
        <x:f>IF(E20="入力確認",1,0)</x:f>
        <x:v>0</x:v>
      </x:c>
      <x:c r="K20" s="67" t="n">
        <x:f>IF(AND(A20&lt;&gt;"",D20="完了"),1,0)</x:f>
        <x:v>0</x:v>
      </x:c>
      <x:c r="L20" s="67" t="n">
        <x:f>IF(A20="",0,1)</x:f>
        <x:v>0</x:v>
      </x:c>
      <x:c r="M20" s="67" t="n">
        <x:f>IF(E20="期限超過",1,0)</x:f>
        <x:v>0</x:v>
      </x:c>
    </x:row>
    <x:row r="21" ht="28" customHeight="1">
      <x:c r="A21" s="62"/>
      <x:c r="B21" s="63"/>
      <x:c r="C21" s="65"/>
      <x:c r="D21" s="61"/>
      <x:c r="E21" s="49" t="str">
        <x:f>IF(A21="","",IF(D21="完了","完了",IF(AND(ISNUMBER(B21),B21&gt;=DATE(2000,1,1),B21&lt;=DATE(2100,12,31),ISNUMBER(C21),C21&gt;0,C21&lt;=100000,C21=INT(C21),OR(D21="未着手",D21="進行中")),IF(INT(B21)&lt;'今日の3件'!$C$5,"期限超過",IF(INT(B21)='今日の3件'!$C$5,"今日締切",IF(INT(B21)&lt;='今日の3件'!$C$5+3,"3日以内","これから"))),"入力確認")))</x:f>
      </x:c>
      <x:c r="F21" s="61"/>
      <x:c r="G21" s="66" t="n">
        <x:f>IF(OR(A21="",D21="完了",E21="入力確認"),999999999,INT(B21)*1000+ROW())</x:f>
        <x:v>999999999</x:v>
      </x:c>
      <x:c r="H21" s="66" t="n">
        <x:f>IF(G21=999999999,0,1)</x:f>
        <x:v>0</x:v>
      </x:c>
      <x:c r="I21" s="67" t="n">
        <x:f>IF(H21=0,0,IF(B21&lt;='今日の3件'!$C$5+7-WEEKDAY('今日の3件'!$C$5,2),C21,0))</x:f>
        <x:v>0</x:v>
      </x:c>
      <x:c r="J21" s="67" t="n">
        <x:f>IF(E21="入力確認",1,0)</x:f>
        <x:v>0</x:v>
      </x:c>
      <x:c r="K21" s="67" t="n">
        <x:f>IF(AND(A21&lt;&gt;"",D21="完了"),1,0)</x:f>
        <x:v>0</x:v>
      </x:c>
      <x:c r="L21" s="67" t="n">
        <x:f>IF(A21="",0,1)</x:f>
        <x:v>0</x:v>
      </x:c>
      <x:c r="M21" s="67" t="n">
        <x:f>IF(E21="期限超過",1,0)</x:f>
        <x:v>0</x:v>
      </x:c>
    </x:row>
    <x:row r="22" ht="28" customHeight="1">
      <x:c r="A22" s="62"/>
      <x:c r="B22" s="63"/>
      <x:c r="C22" s="65"/>
      <x:c r="D22" s="61"/>
      <x:c r="E22" s="49" t="str">
        <x:f>IF(A22="","",IF(D22="完了","完了",IF(AND(ISNUMBER(B22),B22&gt;=DATE(2000,1,1),B22&lt;=DATE(2100,12,31),ISNUMBER(C22),C22&gt;0,C22&lt;=100000,C22=INT(C22),OR(D22="未着手",D22="進行中")),IF(INT(B22)&lt;'今日の3件'!$C$5,"期限超過",IF(INT(B22)='今日の3件'!$C$5,"今日締切",IF(INT(B22)&lt;='今日の3件'!$C$5+3,"3日以内","これから"))),"入力確認")))</x:f>
      </x:c>
      <x:c r="F22" s="61"/>
      <x:c r="G22" s="66" t="n">
        <x:f>IF(OR(A22="",D22="完了",E22="入力確認"),999999999,INT(B22)*1000+ROW())</x:f>
        <x:v>999999999</x:v>
      </x:c>
      <x:c r="H22" s="66" t="n">
        <x:f>IF(G22=999999999,0,1)</x:f>
        <x:v>0</x:v>
      </x:c>
      <x:c r="I22" s="67" t="n">
        <x:f>IF(H22=0,0,IF(B22&lt;='今日の3件'!$C$5+7-WEEKDAY('今日の3件'!$C$5,2),C22,0))</x:f>
        <x:v>0</x:v>
      </x:c>
      <x:c r="J22" s="67" t="n">
        <x:f>IF(E22="入力確認",1,0)</x:f>
        <x:v>0</x:v>
      </x:c>
      <x:c r="K22" s="67" t="n">
        <x:f>IF(AND(A22&lt;&gt;"",D22="完了"),1,0)</x:f>
        <x:v>0</x:v>
      </x:c>
      <x:c r="L22" s="67" t="n">
        <x:f>IF(A22="",0,1)</x:f>
        <x:v>0</x:v>
      </x:c>
      <x:c r="M22" s="67" t="n">
        <x:f>IF(E22="期限超過",1,0)</x:f>
        <x:v>0</x:v>
      </x:c>
    </x:row>
    <x:row r="23" ht="28" customHeight="1">
      <x:c r="A23" s="62"/>
      <x:c r="B23" s="63"/>
      <x:c r="C23" s="65"/>
      <x:c r="D23" s="61"/>
      <x:c r="E23" s="49" t="str">
        <x:f>IF(A23="","",IF(D23="完了","完了",IF(AND(ISNUMBER(B23),B23&gt;=DATE(2000,1,1),B23&lt;=DATE(2100,12,31),ISNUMBER(C23),C23&gt;0,C23&lt;=100000,C23=INT(C23),OR(D23="未着手",D23="進行中")),IF(INT(B23)&lt;'今日の3件'!$C$5,"期限超過",IF(INT(B23)='今日の3件'!$C$5,"今日締切",IF(INT(B23)&lt;='今日の3件'!$C$5+3,"3日以内","これから"))),"入力確認")))</x:f>
      </x:c>
      <x:c r="F23" s="61"/>
      <x:c r="G23" s="66" t="n">
        <x:f>IF(OR(A23="",D23="完了",E23="入力確認"),999999999,INT(B23)*1000+ROW())</x:f>
        <x:v>999999999</x:v>
      </x:c>
      <x:c r="H23" s="66" t="n">
        <x:f>IF(G23=999999999,0,1)</x:f>
        <x:v>0</x:v>
      </x:c>
      <x:c r="I23" s="67" t="n">
        <x:f>IF(H23=0,0,IF(B23&lt;='今日の3件'!$C$5+7-WEEKDAY('今日の3件'!$C$5,2),C23,0))</x:f>
        <x:v>0</x:v>
      </x:c>
      <x:c r="J23" s="67" t="n">
        <x:f>IF(E23="入力確認",1,0)</x:f>
        <x:v>0</x:v>
      </x:c>
      <x:c r="K23" s="67" t="n">
        <x:f>IF(AND(A23&lt;&gt;"",D23="完了"),1,0)</x:f>
        <x:v>0</x:v>
      </x:c>
      <x:c r="L23" s="67" t="n">
        <x:f>IF(A23="",0,1)</x:f>
        <x:v>0</x:v>
      </x:c>
      <x:c r="M23" s="67" t="n">
        <x:f>IF(E23="期限超過",1,0)</x:f>
        <x:v>0</x:v>
      </x:c>
    </x:row>
    <x:row r="24" ht="28" customHeight="1">
      <x:c r="A24" s="62"/>
      <x:c r="B24" s="63"/>
      <x:c r="C24" s="65"/>
      <x:c r="D24" s="61"/>
      <x:c r="E24" s="49" t="str">
        <x:f>IF(A24="","",IF(D24="完了","完了",IF(AND(ISNUMBER(B24),B24&gt;=DATE(2000,1,1),B24&lt;=DATE(2100,12,31),ISNUMBER(C24),C24&gt;0,C24&lt;=100000,C24=INT(C24),OR(D24="未着手",D24="進行中")),IF(INT(B24)&lt;'今日の3件'!$C$5,"期限超過",IF(INT(B24)='今日の3件'!$C$5,"今日締切",IF(INT(B24)&lt;='今日の3件'!$C$5+3,"3日以内","これから"))),"入力確認")))</x:f>
      </x:c>
      <x:c r="F24" s="61"/>
      <x:c r="G24" s="66" t="n">
        <x:f>IF(OR(A24="",D24="完了",E24="入力確認"),999999999,INT(B24)*1000+ROW())</x:f>
        <x:v>999999999</x:v>
      </x:c>
      <x:c r="H24" s="66" t="n">
        <x:f>IF(G24=999999999,0,1)</x:f>
        <x:v>0</x:v>
      </x:c>
      <x:c r="I24" s="67" t="n">
        <x:f>IF(H24=0,0,IF(B24&lt;='今日の3件'!$C$5+7-WEEKDAY('今日の3件'!$C$5,2),C24,0))</x:f>
        <x:v>0</x:v>
      </x:c>
      <x:c r="J24" s="67" t="n">
        <x:f>IF(E24="入力確認",1,0)</x:f>
        <x:v>0</x:v>
      </x:c>
      <x:c r="K24" s="67" t="n">
        <x:f>IF(AND(A24&lt;&gt;"",D24="完了"),1,0)</x:f>
        <x:v>0</x:v>
      </x:c>
      <x:c r="L24" s="67" t="n">
        <x:f>IF(A24="",0,1)</x:f>
        <x:v>0</x:v>
      </x:c>
      <x:c r="M24" s="67" t="n">
        <x:f>IF(E24="期限超過",1,0)</x:f>
        <x:v>0</x:v>
      </x:c>
    </x:row>
    <x:row r="25" ht="28" customHeight="1">
      <x:c r="A25" s="62"/>
      <x:c r="B25" s="63"/>
      <x:c r="C25" s="65"/>
      <x:c r="D25" s="61"/>
      <x:c r="E25" s="49" t="str">
        <x:f>IF(A25="","",IF(D25="完了","完了",IF(AND(ISNUMBER(B25),B25&gt;=DATE(2000,1,1),B25&lt;=DATE(2100,12,31),ISNUMBER(C25),C25&gt;0,C25&lt;=100000,C25=INT(C25),OR(D25="未着手",D25="進行中")),IF(INT(B25)&lt;'今日の3件'!$C$5,"期限超過",IF(INT(B25)='今日の3件'!$C$5,"今日締切",IF(INT(B25)&lt;='今日の3件'!$C$5+3,"3日以内","これから"))),"入力確認")))</x:f>
      </x:c>
      <x:c r="F25" s="61"/>
      <x:c r="G25" s="66" t="n">
        <x:f>IF(OR(A25="",D25="完了",E25="入力確認"),999999999,INT(B25)*1000+ROW())</x:f>
        <x:v>999999999</x:v>
      </x:c>
      <x:c r="H25" s="66" t="n">
        <x:f>IF(G25=999999999,0,1)</x:f>
        <x:v>0</x:v>
      </x:c>
      <x:c r="I25" s="67" t="n">
        <x:f>IF(H25=0,0,IF(B25&lt;='今日の3件'!$C$5+7-WEEKDAY('今日の3件'!$C$5,2),C25,0))</x:f>
        <x:v>0</x:v>
      </x:c>
      <x:c r="J25" s="67" t="n">
        <x:f>IF(E25="入力確認",1,0)</x:f>
        <x:v>0</x:v>
      </x:c>
      <x:c r="K25" s="67" t="n">
        <x:f>IF(AND(A25&lt;&gt;"",D25="完了"),1,0)</x:f>
        <x:v>0</x:v>
      </x:c>
      <x:c r="L25" s="67" t="n">
        <x:f>IF(A25="",0,1)</x:f>
        <x:v>0</x:v>
      </x:c>
      <x:c r="M25" s="67" t="n">
        <x:f>IF(E25="期限超過",1,0)</x:f>
        <x:v>0</x:v>
      </x:c>
    </x:row>
    <x:row r="26" ht="28" customHeight="1">
      <x:c r="A26" s="62"/>
      <x:c r="B26" s="63"/>
      <x:c r="C26" s="65"/>
      <x:c r="D26" s="61"/>
      <x:c r="E26" s="49" t="str">
        <x:f>IF(A26="","",IF(D26="完了","完了",IF(AND(ISNUMBER(B26),B26&gt;=DATE(2000,1,1),B26&lt;=DATE(2100,12,31),ISNUMBER(C26),C26&gt;0,C26&lt;=100000,C26=INT(C26),OR(D26="未着手",D26="進行中")),IF(INT(B26)&lt;'今日の3件'!$C$5,"期限超過",IF(INT(B26)='今日の3件'!$C$5,"今日締切",IF(INT(B26)&lt;='今日の3件'!$C$5+3,"3日以内","これから"))),"入力確認")))</x:f>
      </x:c>
      <x:c r="F26" s="61"/>
      <x:c r="G26" s="66" t="n">
        <x:f>IF(OR(A26="",D26="完了",E26="入力確認"),999999999,INT(B26)*1000+ROW())</x:f>
        <x:v>999999999</x:v>
      </x:c>
      <x:c r="H26" s="66" t="n">
        <x:f>IF(G26=999999999,0,1)</x:f>
        <x:v>0</x:v>
      </x:c>
      <x:c r="I26" s="67" t="n">
        <x:f>IF(H26=0,0,IF(B26&lt;='今日の3件'!$C$5+7-WEEKDAY('今日の3件'!$C$5,2),C26,0))</x:f>
        <x:v>0</x:v>
      </x:c>
      <x:c r="J26" s="67" t="n">
        <x:f>IF(E26="入力確認",1,0)</x:f>
        <x:v>0</x:v>
      </x:c>
      <x:c r="K26" s="67" t="n">
        <x:f>IF(AND(A26&lt;&gt;"",D26="完了"),1,0)</x:f>
        <x:v>0</x:v>
      </x:c>
      <x:c r="L26" s="67" t="n">
        <x:f>IF(A26="",0,1)</x:f>
        <x:v>0</x:v>
      </x:c>
      <x:c r="M26" s="67" t="n">
        <x:f>IF(E26="期限超過",1,0)</x:f>
        <x:v>0</x:v>
      </x:c>
    </x:row>
    <x:row r="27" ht="28" customHeight="1">
      <x:c r="A27" s="62"/>
      <x:c r="B27" s="63"/>
      <x:c r="C27" s="65"/>
      <x:c r="D27" s="61"/>
      <x:c r="E27" s="49" t="str">
        <x:f>IF(A27="","",IF(D27="完了","完了",IF(AND(ISNUMBER(B27),B27&gt;=DATE(2000,1,1),B27&lt;=DATE(2100,12,31),ISNUMBER(C27),C27&gt;0,C27&lt;=100000,C27=INT(C27),OR(D27="未着手",D27="進行中")),IF(INT(B27)&lt;'今日の3件'!$C$5,"期限超過",IF(INT(B27)='今日の3件'!$C$5,"今日締切",IF(INT(B27)&lt;='今日の3件'!$C$5+3,"3日以内","これから"))),"入力確認")))</x:f>
      </x:c>
      <x:c r="F27" s="61"/>
      <x:c r="G27" s="66" t="n">
        <x:f>IF(OR(A27="",D27="完了",E27="入力確認"),999999999,INT(B27)*1000+ROW())</x:f>
        <x:v>999999999</x:v>
      </x:c>
      <x:c r="H27" s="66" t="n">
        <x:f>IF(G27=999999999,0,1)</x:f>
        <x:v>0</x:v>
      </x:c>
      <x:c r="I27" s="67" t="n">
        <x:f>IF(H27=0,0,IF(B27&lt;='今日の3件'!$C$5+7-WEEKDAY('今日の3件'!$C$5,2),C27,0))</x:f>
        <x:v>0</x:v>
      </x:c>
      <x:c r="J27" s="67" t="n">
        <x:f>IF(E27="入力確認",1,0)</x:f>
        <x:v>0</x:v>
      </x:c>
      <x:c r="K27" s="67" t="n">
        <x:f>IF(AND(A27&lt;&gt;"",D27="完了"),1,0)</x:f>
        <x:v>0</x:v>
      </x:c>
      <x:c r="L27" s="67" t="n">
        <x:f>IF(A27="",0,1)</x:f>
        <x:v>0</x:v>
      </x:c>
      <x:c r="M27" s="67" t="n">
        <x:f>IF(E27="期限超過",1,0)</x:f>
        <x:v>0</x:v>
      </x:c>
    </x:row>
    <x:row r="28" ht="28" customHeight="1">
      <x:c r="A28" s="62"/>
      <x:c r="B28" s="63"/>
      <x:c r="C28" s="65"/>
      <x:c r="D28" s="61"/>
      <x:c r="E28" s="49" t="str">
        <x:f>IF(A28="","",IF(D28="完了","完了",IF(AND(ISNUMBER(B28),B28&gt;=DATE(2000,1,1),B28&lt;=DATE(2100,12,31),ISNUMBER(C28),C28&gt;0,C28&lt;=100000,C28=INT(C28),OR(D28="未着手",D28="進行中")),IF(INT(B28)&lt;'今日の3件'!$C$5,"期限超過",IF(INT(B28)='今日の3件'!$C$5,"今日締切",IF(INT(B28)&lt;='今日の3件'!$C$5+3,"3日以内","これから"))),"入力確認")))</x:f>
      </x:c>
      <x:c r="F28" s="61"/>
      <x:c r="G28" s="66" t="n">
        <x:f>IF(OR(A28="",D28="完了",E28="入力確認"),999999999,INT(B28)*1000+ROW())</x:f>
        <x:v>999999999</x:v>
      </x:c>
      <x:c r="H28" s="66" t="n">
        <x:f>IF(G28=999999999,0,1)</x:f>
        <x:v>0</x:v>
      </x:c>
      <x:c r="I28" s="67" t="n">
        <x:f>IF(H28=0,0,IF(B28&lt;='今日の3件'!$C$5+7-WEEKDAY('今日の3件'!$C$5,2),C28,0))</x:f>
        <x:v>0</x:v>
      </x:c>
      <x:c r="J28" s="67" t="n">
        <x:f>IF(E28="入力確認",1,0)</x:f>
        <x:v>0</x:v>
      </x:c>
      <x:c r="K28" s="67" t="n">
        <x:f>IF(AND(A28&lt;&gt;"",D28="完了"),1,0)</x:f>
        <x:v>0</x:v>
      </x:c>
      <x:c r="L28" s="67" t="n">
        <x:f>IF(A28="",0,1)</x:f>
        <x:v>0</x:v>
      </x:c>
      <x:c r="M28" s="67" t="n">
        <x:f>IF(E28="期限超過",1,0)</x:f>
        <x:v>0</x:v>
      </x:c>
    </x:row>
    <x:row r="29" ht="28" customHeight="1">
      <x:c r="A29" s="62"/>
      <x:c r="B29" s="63"/>
      <x:c r="C29" s="65"/>
      <x:c r="D29" s="61"/>
      <x:c r="E29" s="49" t="str">
        <x:f>IF(A29="","",IF(D29="完了","完了",IF(AND(ISNUMBER(B29),B29&gt;=DATE(2000,1,1),B29&lt;=DATE(2100,12,31),ISNUMBER(C29),C29&gt;0,C29&lt;=100000,C29=INT(C29),OR(D29="未着手",D29="進行中")),IF(INT(B29)&lt;'今日の3件'!$C$5,"期限超過",IF(INT(B29)='今日の3件'!$C$5,"今日締切",IF(INT(B29)&lt;='今日の3件'!$C$5+3,"3日以内","これから"))),"入力確認")))</x:f>
      </x:c>
      <x:c r="F29" s="61"/>
      <x:c r="G29" s="66" t="n">
        <x:f>IF(OR(A29="",D29="完了",E29="入力確認"),999999999,INT(B29)*1000+ROW())</x:f>
        <x:v>999999999</x:v>
      </x:c>
      <x:c r="H29" s="66" t="n">
        <x:f>IF(G29=999999999,0,1)</x:f>
        <x:v>0</x:v>
      </x:c>
      <x:c r="I29" s="67" t="n">
        <x:f>IF(H29=0,0,IF(B29&lt;='今日の3件'!$C$5+7-WEEKDAY('今日の3件'!$C$5,2),C29,0))</x:f>
        <x:v>0</x:v>
      </x:c>
      <x:c r="J29" s="67" t="n">
        <x:f>IF(E29="入力確認",1,0)</x:f>
        <x:v>0</x:v>
      </x:c>
      <x:c r="K29" s="67" t="n">
        <x:f>IF(AND(A29&lt;&gt;"",D29="完了"),1,0)</x:f>
        <x:v>0</x:v>
      </x:c>
      <x:c r="L29" s="67" t="n">
        <x:f>IF(A29="",0,1)</x:f>
        <x:v>0</x:v>
      </x:c>
      <x:c r="M29" s="67" t="n">
        <x:f>IF(E29="期限超過",1,0)</x:f>
        <x:v>0</x:v>
      </x:c>
    </x:row>
    <x:row r="30" ht="28" customHeight="1">
      <x:c r="A30" s="62"/>
      <x:c r="B30" s="63"/>
      <x:c r="C30" s="65"/>
      <x:c r="D30" s="61"/>
      <x:c r="E30" s="49" t="str">
        <x:f>IF(A30="","",IF(D30="完了","完了",IF(AND(ISNUMBER(B30),B30&gt;=DATE(2000,1,1),B30&lt;=DATE(2100,12,31),ISNUMBER(C30),C30&gt;0,C30&lt;=100000,C30=INT(C30),OR(D30="未着手",D30="進行中")),IF(INT(B30)&lt;'今日の3件'!$C$5,"期限超過",IF(INT(B30)='今日の3件'!$C$5,"今日締切",IF(INT(B30)&lt;='今日の3件'!$C$5+3,"3日以内","これから"))),"入力確認")))</x:f>
      </x:c>
      <x:c r="F30" s="61"/>
      <x:c r="G30" s="66" t="n">
        <x:f>IF(OR(A30="",D30="完了",E30="入力確認"),999999999,INT(B30)*1000+ROW())</x:f>
        <x:v>999999999</x:v>
      </x:c>
      <x:c r="H30" s="66" t="n">
        <x:f>IF(G30=999999999,0,1)</x:f>
        <x:v>0</x:v>
      </x:c>
      <x:c r="I30" s="67" t="n">
        <x:f>IF(H30=0,0,IF(B30&lt;='今日の3件'!$C$5+7-WEEKDAY('今日の3件'!$C$5,2),C30,0))</x:f>
        <x:v>0</x:v>
      </x:c>
      <x:c r="J30" s="67" t="n">
        <x:f>IF(E30="入力確認",1,0)</x:f>
        <x:v>0</x:v>
      </x:c>
      <x:c r="K30" s="67" t="n">
        <x:f>IF(AND(A30&lt;&gt;"",D30="完了"),1,0)</x:f>
        <x:v>0</x:v>
      </x:c>
      <x:c r="L30" s="67" t="n">
        <x:f>IF(A30="",0,1)</x:f>
        <x:v>0</x:v>
      </x:c>
      <x:c r="M30" s="67" t="n">
        <x:f>IF(E30="期限超過",1,0)</x:f>
        <x:v>0</x:v>
      </x:c>
    </x:row>
    <x:row r="31" ht="28" customHeight="1">
      <x:c r="A31" s="62"/>
      <x:c r="B31" s="63"/>
      <x:c r="C31" s="65"/>
      <x:c r="D31" s="61"/>
      <x:c r="E31" s="49" t="str">
        <x:f>IF(A31="","",IF(D31="完了","完了",IF(AND(ISNUMBER(B31),B31&gt;=DATE(2000,1,1),B31&lt;=DATE(2100,12,31),ISNUMBER(C31),C31&gt;0,C31&lt;=100000,C31=INT(C31),OR(D31="未着手",D31="進行中")),IF(INT(B31)&lt;'今日の3件'!$C$5,"期限超過",IF(INT(B31)='今日の3件'!$C$5,"今日締切",IF(INT(B31)&lt;='今日の3件'!$C$5+3,"3日以内","これから"))),"入力確認")))</x:f>
      </x:c>
      <x:c r="F31" s="61"/>
      <x:c r="G31" s="66" t="n">
        <x:f>IF(OR(A31="",D31="完了",E31="入力確認"),999999999,INT(B31)*1000+ROW())</x:f>
        <x:v>999999999</x:v>
      </x:c>
      <x:c r="H31" s="66" t="n">
        <x:f>IF(G31=999999999,0,1)</x:f>
        <x:v>0</x:v>
      </x:c>
      <x:c r="I31" s="67" t="n">
        <x:f>IF(H31=0,0,IF(B31&lt;='今日の3件'!$C$5+7-WEEKDAY('今日の3件'!$C$5,2),C31,0))</x:f>
        <x:v>0</x:v>
      </x:c>
      <x:c r="J31" s="67" t="n">
        <x:f>IF(E31="入力確認",1,0)</x:f>
        <x:v>0</x:v>
      </x:c>
      <x:c r="K31" s="67" t="n">
        <x:f>IF(AND(A31&lt;&gt;"",D31="完了"),1,0)</x:f>
        <x:v>0</x:v>
      </x:c>
      <x:c r="L31" s="67" t="n">
        <x:f>IF(A31="",0,1)</x:f>
        <x:v>0</x:v>
      </x:c>
      <x:c r="M31" s="67" t="n">
        <x:f>IF(E31="期限超過",1,0)</x:f>
        <x:v>0</x:v>
      </x:c>
    </x:row>
    <x:row r="32" ht="28" customHeight="1">
      <x:c r="A32" s="62"/>
      <x:c r="B32" s="63"/>
      <x:c r="C32" s="65"/>
      <x:c r="D32" s="61"/>
      <x:c r="E32" s="49" t="str">
        <x:f>IF(A32="","",IF(D32="完了","完了",IF(AND(ISNUMBER(B32),B32&gt;=DATE(2000,1,1),B32&lt;=DATE(2100,12,31),ISNUMBER(C32),C32&gt;0,C32&lt;=100000,C32=INT(C32),OR(D32="未着手",D32="進行中")),IF(INT(B32)&lt;'今日の3件'!$C$5,"期限超過",IF(INT(B32)='今日の3件'!$C$5,"今日締切",IF(INT(B32)&lt;='今日の3件'!$C$5+3,"3日以内","これから"))),"入力確認")))</x:f>
      </x:c>
      <x:c r="F32" s="61"/>
      <x:c r="G32" s="66" t="n">
        <x:f>IF(OR(A32="",D32="完了",E32="入力確認"),999999999,INT(B32)*1000+ROW())</x:f>
        <x:v>999999999</x:v>
      </x:c>
      <x:c r="H32" s="66" t="n">
        <x:f>IF(G32=999999999,0,1)</x:f>
        <x:v>0</x:v>
      </x:c>
      <x:c r="I32" s="67" t="n">
        <x:f>IF(H32=0,0,IF(B32&lt;='今日の3件'!$C$5+7-WEEKDAY('今日の3件'!$C$5,2),C32,0))</x:f>
        <x:v>0</x:v>
      </x:c>
      <x:c r="J32" s="67" t="n">
        <x:f>IF(E32="入力確認",1,0)</x:f>
        <x:v>0</x:v>
      </x:c>
      <x:c r="K32" s="67" t="n">
        <x:f>IF(AND(A32&lt;&gt;"",D32="完了"),1,0)</x:f>
        <x:v>0</x:v>
      </x:c>
      <x:c r="L32" s="67" t="n">
        <x:f>IF(A32="",0,1)</x:f>
        <x:v>0</x:v>
      </x:c>
      <x:c r="M32" s="67" t="n">
        <x:f>IF(E32="期限超過",1,0)</x:f>
        <x:v>0</x:v>
      </x:c>
    </x:row>
    <x:row r="33" ht="28" customHeight="1">
      <x:c r="A33" s="62"/>
      <x:c r="B33" s="63"/>
      <x:c r="C33" s="65"/>
      <x:c r="D33" s="61"/>
      <x:c r="E33" s="49" t="str">
        <x:f>IF(A33="","",IF(D33="完了","完了",IF(AND(ISNUMBER(B33),B33&gt;=DATE(2000,1,1),B33&lt;=DATE(2100,12,31),ISNUMBER(C33),C33&gt;0,C33&lt;=100000,C33=INT(C33),OR(D33="未着手",D33="進行中")),IF(INT(B33)&lt;'今日の3件'!$C$5,"期限超過",IF(INT(B33)='今日の3件'!$C$5,"今日締切",IF(INT(B33)&lt;='今日の3件'!$C$5+3,"3日以内","これから"))),"入力確認")))</x:f>
      </x:c>
      <x:c r="F33" s="61"/>
      <x:c r="G33" s="66" t="n">
        <x:f>IF(OR(A33="",D33="完了",E33="入力確認"),999999999,INT(B33)*1000+ROW())</x:f>
        <x:v>999999999</x:v>
      </x:c>
      <x:c r="H33" s="66" t="n">
        <x:f>IF(G33=999999999,0,1)</x:f>
        <x:v>0</x:v>
      </x:c>
      <x:c r="I33" s="67" t="n">
        <x:f>IF(H33=0,0,IF(B33&lt;='今日の3件'!$C$5+7-WEEKDAY('今日の3件'!$C$5,2),C33,0))</x:f>
        <x:v>0</x:v>
      </x:c>
      <x:c r="J33" s="67" t="n">
        <x:f>IF(E33="入力確認",1,0)</x:f>
        <x:v>0</x:v>
      </x:c>
      <x:c r="K33" s="67" t="n">
        <x:f>IF(AND(A33&lt;&gt;"",D33="完了"),1,0)</x:f>
        <x:v>0</x:v>
      </x:c>
      <x:c r="L33" s="67" t="n">
        <x:f>IF(A33="",0,1)</x:f>
        <x:v>0</x:v>
      </x:c>
      <x:c r="M33" s="67" t="n">
        <x:f>IF(E33="期限超過",1,0)</x:f>
        <x:v>0</x:v>
      </x:c>
    </x:row>
    <x:row r="34" ht="28" customHeight="1">
      <x:c r="A34" s="62"/>
      <x:c r="B34" s="63"/>
      <x:c r="C34" s="65"/>
      <x:c r="D34" s="61"/>
      <x:c r="E34" s="49" t="str">
        <x:f>IF(A34="","",IF(D34="完了","完了",IF(AND(ISNUMBER(B34),B34&gt;=DATE(2000,1,1),B34&lt;=DATE(2100,12,31),ISNUMBER(C34),C34&gt;0,C34&lt;=100000,C34=INT(C34),OR(D34="未着手",D34="進行中")),IF(INT(B34)&lt;'今日の3件'!$C$5,"期限超過",IF(INT(B34)='今日の3件'!$C$5,"今日締切",IF(INT(B34)&lt;='今日の3件'!$C$5+3,"3日以内","これから"))),"入力確認")))</x:f>
      </x:c>
      <x:c r="F34" s="61"/>
      <x:c r="G34" s="66" t="n">
        <x:f>IF(OR(A34="",D34="完了",E34="入力確認"),999999999,INT(B34)*1000+ROW())</x:f>
        <x:v>999999999</x:v>
      </x:c>
      <x:c r="H34" s="66" t="n">
        <x:f>IF(G34=999999999,0,1)</x:f>
        <x:v>0</x:v>
      </x:c>
      <x:c r="I34" s="67" t="n">
        <x:f>IF(H34=0,0,IF(B34&lt;='今日の3件'!$C$5+7-WEEKDAY('今日の3件'!$C$5,2),C34,0))</x:f>
        <x:v>0</x:v>
      </x:c>
      <x:c r="J34" s="67" t="n">
        <x:f>IF(E34="入力確認",1,0)</x:f>
        <x:v>0</x:v>
      </x:c>
      <x:c r="K34" s="67" t="n">
        <x:f>IF(AND(A34&lt;&gt;"",D34="完了"),1,0)</x:f>
        <x:v>0</x:v>
      </x:c>
      <x:c r="L34" s="67" t="n">
        <x:f>IF(A34="",0,1)</x:f>
        <x:v>0</x:v>
      </x:c>
      <x:c r="M34" s="67" t="n">
        <x:f>IF(E34="期限超過",1,0)</x:f>
        <x:v>0</x:v>
      </x:c>
    </x:row>
    <x:row r="35" ht="28" customHeight="1">
      <x:c r="A35" s="62"/>
      <x:c r="B35" s="63"/>
      <x:c r="C35" s="65"/>
      <x:c r="D35" s="61"/>
      <x:c r="E35" s="49" t="str">
        <x:f>IF(A35="","",IF(D35="完了","完了",IF(AND(ISNUMBER(B35),B35&gt;=DATE(2000,1,1),B35&lt;=DATE(2100,12,31),ISNUMBER(C35),C35&gt;0,C35&lt;=100000,C35=INT(C35),OR(D35="未着手",D35="進行中")),IF(INT(B35)&lt;'今日の3件'!$C$5,"期限超過",IF(INT(B35)='今日の3件'!$C$5,"今日締切",IF(INT(B35)&lt;='今日の3件'!$C$5+3,"3日以内","これから"))),"入力確認")))</x:f>
      </x:c>
      <x:c r="F35" s="61"/>
      <x:c r="G35" s="66" t="n">
        <x:f>IF(OR(A35="",D35="完了",E35="入力確認"),999999999,INT(B35)*1000+ROW())</x:f>
        <x:v>999999999</x:v>
      </x:c>
      <x:c r="H35" s="66" t="n">
        <x:f>IF(G35=999999999,0,1)</x:f>
        <x:v>0</x:v>
      </x:c>
      <x:c r="I35" s="67" t="n">
        <x:f>IF(H35=0,0,IF(B35&lt;='今日の3件'!$C$5+7-WEEKDAY('今日の3件'!$C$5,2),C35,0))</x:f>
        <x:v>0</x:v>
      </x:c>
      <x:c r="J35" s="67" t="n">
        <x:f>IF(E35="入力確認",1,0)</x:f>
        <x:v>0</x:v>
      </x:c>
      <x:c r="K35" s="67" t="n">
        <x:f>IF(AND(A35&lt;&gt;"",D35="完了"),1,0)</x:f>
        <x:v>0</x:v>
      </x:c>
      <x:c r="L35" s="67" t="n">
        <x:f>IF(A35="",0,1)</x:f>
        <x:v>0</x:v>
      </x:c>
      <x:c r="M35" s="67" t="n">
        <x:f>IF(E35="期限超過",1,0)</x:f>
        <x:v>0</x:v>
      </x:c>
    </x:row>
    <x:row r="36" ht="28" customHeight="1">
      <x:c r="A36" s="62"/>
      <x:c r="B36" s="63"/>
      <x:c r="C36" s="65"/>
      <x:c r="D36" s="61"/>
      <x:c r="E36" s="49" t="str">
        <x:f>IF(A36="","",IF(D36="完了","完了",IF(AND(ISNUMBER(B36),B36&gt;=DATE(2000,1,1),B36&lt;=DATE(2100,12,31),ISNUMBER(C36),C36&gt;0,C36&lt;=100000,C36=INT(C36),OR(D36="未着手",D36="進行中")),IF(INT(B36)&lt;'今日の3件'!$C$5,"期限超過",IF(INT(B36)='今日の3件'!$C$5,"今日締切",IF(INT(B36)&lt;='今日の3件'!$C$5+3,"3日以内","これから"))),"入力確認")))</x:f>
      </x:c>
      <x:c r="F36" s="61"/>
      <x:c r="G36" s="66" t="n">
        <x:f>IF(OR(A36="",D36="完了",E36="入力確認"),999999999,INT(B36)*1000+ROW())</x:f>
        <x:v>999999999</x:v>
      </x:c>
      <x:c r="H36" s="66" t="n">
        <x:f>IF(G36=999999999,0,1)</x:f>
        <x:v>0</x:v>
      </x:c>
      <x:c r="I36" s="67" t="n">
        <x:f>IF(H36=0,0,IF(B36&lt;='今日の3件'!$C$5+7-WEEKDAY('今日の3件'!$C$5,2),C36,0))</x:f>
        <x:v>0</x:v>
      </x:c>
      <x:c r="J36" s="67" t="n">
        <x:f>IF(E36="入力確認",1,0)</x:f>
        <x:v>0</x:v>
      </x:c>
      <x:c r="K36" s="67" t="n">
        <x:f>IF(AND(A36&lt;&gt;"",D36="完了"),1,0)</x:f>
        <x:v>0</x:v>
      </x:c>
      <x:c r="L36" s="67" t="n">
        <x:f>IF(A36="",0,1)</x:f>
        <x:v>0</x:v>
      </x:c>
      <x:c r="M36" s="67" t="n">
        <x:f>IF(E36="期限超過",1,0)</x:f>
        <x:v>0</x:v>
      </x:c>
    </x:row>
    <x:row r="37" ht="28" customHeight="1">
      <x:c r="A37" s="62"/>
      <x:c r="B37" s="63"/>
      <x:c r="C37" s="65"/>
      <x:c r="D37" s="61"/>
      <x:c r="E37" s="49" t="str">
        <x:f>IF(A37="","",IF(D37="完了","完了",IF(AND(ISNUMBER(B37),B37&gt;=DATE(2000,1,1),B37&lt;=DATE(2100,12,31),ISNUMBER(C37),C37&gt;0,C37&lt;=100000,C37=INT(C37),OR(D37="未着手",D37="進行中")),IF(INT(B37)&lt;'今日の3件'!$C$5,"期限超過",IF(INT(B37)='今日の3件'!$C$5,"今日締切",IF(INT(B37)&lt;='今日の3件'!$C$5+3,"3日以内","これから"))),"入力確認")))</x:f>
      </x:c>
      <x:c r="F37" s="61"/>
      <x:c r="G37" s="66" t="n">
        <x:f>IF(OR(A37="",D37="完了",E37="入力確認"),999999999,INT(B37)*1000+ROW())</x:f>
        <x:v>999999999</x:v>
      </x:c>
      <x:c r="H37" s="66" t="n">
        <x:f>IF(G37=999999999,0,1)</x:f>
        <x:v>0</x:v>
      </x:c>
      <x:c r="I37" s="67" t="n">
        <x:f>IF(H37=0,0,IF(B37&lt;='今日の3件'!$C$5+7-WEEKDAY('今日の3件'!$C$5,2),C37,0))</x:f>
        <x:v>0</x:v>
      </x:c>
      <x:c r="J37" s="67" t="n">
        <x:f>IF(E37="入力確認",1,0)</x:f>
        <x:v>0</x:v>
      </x:c>
      <x:c r="K37" s="67" t="n">
        <x:f>IF(AND(A37&lt;&gt;"",D37="完了"),1,0)</x:f>
        <x:v>0</x:v>
      </x:c>
      <x:c r="L37" s="67" t="n">
        <x:f>IF(A37="",0,1)</x:f>
        <x:v>0</x:v>
      </x:c>
      <x:c r="M37" s="67" t="n">
        <x:f>IF(E37="期限超過",1,0)</x:f>
        <x:v>0</x:v>
      </x:c>
    </x:row>
    <x:row r="38" ht="28" customHeight="1">
      <x:c r="A38" s="62"/>
      <x:c r="B38" s="63"/>
      <x:c r="C38" s="65"/>
      <x:c r="D38" s="61"/>
      <x:c r="E38" s="49" t="str">
        <x:f>IF(A38="","",IF(D38="完了","完了",IF(AND(ISNUMBER(B38),B38&gt;=DATE(2000,1,1),B38&lt;=DATE(2100,12,31),ISNUMBER(C38),C38&gt;0,C38&lt;=100000,C38=INT(C38),OR(D38="未着手",D38="進行中")),IF(INT(B38)&lt;'今日の3件'!$C$5,"期限超過",IF(INT(B38)='今日の3件'!$C$5,"今日締切",IF(INT(B38)&lt;='今日の3件'!$C$5+3,"3日以内","これから"))),"入力確認")))</x:f>
      </x:c>
      <x:c r="F38" s="61"/>
      <x:c r="G38" s="66" t="n">
        <x:f>IF(OR(A38="",D38="完了",E38="入力確認"),999999999,INT(B38)*1000+ROW())</x:f>
        <x:v>999999999</x:v>
      </x:c>
      <x:c r="H38" s="66" t="n">
        <x:f>IF(G38=999999999,0,1)</x:f>
        <x:v>0</x:v>
      </x:c>
      <x:c r="I38" s="67" t="n">
        <x:f>IF(H38=0,0,IF(B38&lt;='今日の3件'!$C$5+7-WEEKDAY('今日の3件'!$C$5,2),C38,0))</x:f>
        <x:v>0</x:v>
      </x:c>
      <x:c r="J38" s="67" t="n">
        <x:f>IF(E38="入力確認",1,0)</x:f>
        <x:v>0</x:v>
      </x:c>
      <x:c r="K38" s="67" t="n">
        <x:f>IF(AND(A38&lt;&gt;"",D38="完了"),1,0)</x:f>
        <x:v>0</x:v>
      </x:c>
      <x:c r="L38" s="67" t="n">
        <x:f>IF(A38="",0,1)</x:f>
        <x:v>0</x:v>
      </x:c>
      <x:c r="M38" s="67" t="n">
        <x:f>IF(E38="期限超過",1,0)</x:f>
        <x:v>0</x:v>
      </x:c>
    </x:row>
    <x:row r="39" ht="28" customHeight="1">
      <x:c r="A39" s="62"/>
      <x:c r="B39" s="63"/>
      <x:c r="C39" s="65"/>
      <x:c r="D39" s="61"/>
      <x:c r="E39" s="49" t="str">
        <x:f>IF(A39="","",IF(D39="完了","完了",IF(AND(ISNUMBER(B39),B39&gt;=DATE(2000,1,1),B39&lt;=DATE(2100,12,31),ISNUMBER(C39),C39&gt;0,C39&lt;=100000,C39=INT(C39),OR(D39="未着手",D39="進行中")),IF(INT(B39)&lt;'今日の3件'!$C$5,"期限超過",IF(INT(B39)='今日の3件'!$C$5,"今日締切",IF(INT(B39)&lt;='今日の3件'!$C$5+3,"3日以内","これから"))),"入力確認")))</x:f>
      </x:c>
      <x:c r="F39" s="61"/>
      <x:c r="G39" s="66" t="n">
        <x:f>IF(OR(A39="",D39="完了",E39="入力確認"),999999999,INT(B39)*1000+ROW())</x:f>
        <x:v>999999999</x:v>
      </x:c>
      <x:c r="H39" s="66" t="n">
        <x:f>IF(G39=999999999,0,1)</x:f>
        <x:v>0</x:v>
      </x:c>
      <x:c r="I39" s="67" t="n">
        <x:f>IF(H39=0,0,IF(B39&lt;='今日の3件'!$C$5+7-WEEKDAY('今日の3件'!$C$5,2),C39,0))</x:f>
        <x:v>0</x:v>
      </x:c>
      <x:c r="J39" s="67" t="n">
        <x:f>IF(E39="入力確認",1,0)</x:f>
        <x:v>0</x:v>
      </x:c>
      <x:c r="K39" s="67" t="n">
        <x:f>IF(AND(A39&lt;&gt;"",D39="完了"),1,0)</x:f>
        <x:v>0</x:v>
      </x:c>
      <x:c r="L39" s="67" t="n">
        <x:f>IF(A39="",0,1)</x:f>
        <x:v>0</x:v>
      </x:c>
      <x:c r="M39" s="67" t="n">
        <x:f>IF(E39="期限超過",1,0)</x:f>
        <x:v>0</x:v>
      </x:c>
    </x:row>
    <x:row r="40" ht="28" customHeight="1">
      <x:c r="A40" s="62"/>
      <x:c r="B40" s="63"/>
      <x:c r="C40" s="65"/>
      <x:c r="D40" s="61"/>
      <x:c r="E40" s="49" t="str">
        <x:f>IF(A40="","",IF(D40="完了","完了",IF(AND(ISNUMBER(B40),B40&gt;=DATE(2000,1,1),B40&lt;=DATE(2100,12,31),ISNUMBER(C40),C40&gt;0,C40&lt;=100000,C40=INT(C40),OR(D40="未着手",D40="進行中")),IF(INT(B40)&lt;'今日の3件'!$C$5,"期限超過",IF(INT(B40)='今日の3件'!$C$5,"今日締切",IF(INT(B40)&lt;='今日の3件'!$C$5+3,"3日以内","これから"))),"入力確認")))</x:f>
      </x:c>
      <x:c r="F40" s="61"/>
      <x:c r="G40" s="66" t="n">
        <x:f>IF(OR(A40="",D40="完了",E40="入力確認"),999999999,INT(B40)*1000+ROW())</x:f>
        <x:v>999999999</x:v>
      </x:c>
      <x:c r="H40" s="66" t="n">
        <x:f>IF(G40=999999999,0,1)</x:f>
        <x:v>0</x:v>
      </x:c>
      <x:c r="I40" s="67" t="n">
        <x:f>IF(H40=0,0,IF(B40&lt;='今日の3件'!$C$5+7-WEEKDAY('今日の3件'!$C$5,2),C40,0))</x:f>
        <x:v>0</x:v>
      </x:c>
      <x:c r="J40" s="67" t="n">
        <x:f>IF(E40="入力確認",1,0)</x:f>
        <x:v>0</x:v>
      </x:c>
      <x:c r="K40" s="67" t="n">
        <x:f>IF(AND(A40&lt;&gt;"",D40="完了"),1,0)</x:f>
        <x:v>0</x:v>
      </x:c>
      <x:c r="L40" s="67" t="n">
        <x:f>IF(A40="",0,1)</x:f>
        <x:v>0</x:v>
      </x:c>
      <x:c r="M40" s="67" t="n">
        <x:f>IF(E40="期限超過",1,0)</x:f>
        <x:v>0</x:v>
      </x:c>
    </x:row>
    <x:row r="41" ht="28" customHeight="1">
      <x:c r="A41" s="62"/>
      <x:c r="B41" s="63"/>
      <x:c r="C41" s="65"/>
      <x:c r="D41" s="61"/>
      <x:c r="E41" s="49" t="str">
        <x:f>IF(A41="","",IF(D41="完了","完了",IF(AND(ISNUMBER(B41),B41&gt;=DATE(2000,1,1),B41&lt;=DATE(2100,12,31),ISNUMBER(C41),C41&gt;0,C41&lt;=100000,C41=INT(C41),OR(D41="未着手",D41="進行中")),IF(INT(B41)&lt;'今日の3件'!$C$5,"期限超過",IF(INT(B41)='今日の3件'!$C$5,"今日締切",IF(INT(B41)&lt;='今日の3件'!$C$5+3,"3日以内","これから"))),"入力確認")))</x:f>
      </x:c>
      <x:c r="F41" s="61"/>
      <x:c r="G41" s="66" t="n">
        <x:f>IF(OR(A41="",D41="完了",E41="入力確認"),999999999,INT(B41)*1000+ROW())</x:f>
        <x:v>999999999</x:v>
      </x:c>
      <x:c r="H41" s="66" t="n">
        <x:f>IF(G41=999999999,0,1)</x:f>
        <x:v>0</x:v>
      </x:c>
      <x:c r="I41" s="67" t="n">
        <x:f>IF(H41=0,0,IF(B41&lt;='今日の3件'!$C$5+7-WEEKDAY('今日の3件'!$C$5,2),C41,0))</x:f>
        <x:v>0</x:v>
      </x:c>
      <x:c r="J41" s="67" t="n">
        <x:f>IF(E41="入力確認",1,0)</x:f>
        <x:v>0</x:v>
      </x:c>
      <x:c r="K41" s="67" t="n">
        <x:f>IF(AND(A41&lt;&gt;"",D41="完了"),1,0)</x:f>
        <x:v>0</x:v>
      </x:c>
      <x:c r="L41" s="67" t="n">
        <x:f>IF(A41="",0,1)</x:f>
        <x:v>0</x:v>
      </x:c>
      <x:c r="M41" s="67" t="n">
        <x:f>IF(E41="期限超過",1,0)</x:f>
        <x:v>0</x:v>
      </x:c>
    </x:row>
    <x:row r="42" ht="28" customHeight="1">
      <x:c r="A42" s="62"/>
      <x:c r="B42" s="63"/>
      <x:c r="C42" s="65"/>
      <x:c r="D42" s="61"/>
      <x:c r="E42" s="49" t="str">
        <x:f>IF(A42="","",IF(D42="完了","完了",IF(AND(ISNUMBER(B42),B42&gt;=DATE(2000,1,1),B42&lt;=DATE(2100,12,31),ISNUMBER(C42),C42&gt;0,C42&lt;=100000,C42=INT(C42),OR(D42="未着手",D42="進行中")),IF(INT(B42)&lt;'今日の3件'!$C$5,"期限超過",IF(INT(B42)='今日の3件'!$C$5,"今日締切",IF(INT(B42)&lt;='今日の3件'!$C$5+3,"3日以内","これから"))),"入力確認")))</x:f>
      </x:c>
      <x:c r="F42" s="61"/>
      <x:c r="G42" s="66" t="n">
        <x:f>IF(OR(A42="",D42="完了",E42="入力確認"),999999999,INT(B42)*1000+ROW())</x:f>
        <x:v>999999999</x:v>
      </x:c>
      <x:c r="H42" s="66" t="n">
        <x:f>IF(G42=999999999,0,1)</x:f>
        <x:v>0</x:v>
      </x:c>
      <x:c r="I42" s="67" t="n">
        <x:f>IF(H42=0,0,IF(B42&lt;='今日の3件'!$C$5+7-WEEKDAY('今日の3件'!$C$5,2),C42,0))</x:f>
        <x:v>0</x:v>
      </x:c>
      <x:c r="J42" s="67" t="n">
        <x:f>IF(E42="入力確認",1,0)</x:f>
        <x:v>0</x:v>
      </x:c>
      <x:c r="K42" s="67" t="n">
        <x:f>IF(AND(A42&lt;&gt;"",D42="完了"),1,0)</x:f>
        <x:v>0</x:v>
      </x:c>
      <x:c r="L42" s="67" t="n">
        <x:f>IF(A42="",0,1)</x:f>
        <x:v>0</x:v>
      </x:c>
      <x:c r="M42" s="67" t="n">
        <x:f>IF(E42="期限超過",1,0)</x:f>
        <x:v>0</x:v>
      </x:c>
    </x:row>
    <x:row r="43" ht="28" customHeight="1">
      <x:c r="A43" s="62"/>
      <x:c r="B43" s="63"/>
      <x:c r="C43" s="65"/>
      <x:c r="D43" s="61"/>
      <x:c r="E43" s="49" t="str">
        <x:f>IF(A43="","",IF(D43="完了","完了",IF(AND(ISNUMBER(B43),B43&gt;=DATE(2000,1,1),B43&lt;=DATE(2100,12,31),ISNUMBER(C43),C43&gt;0,C43&lt;=100000,C43=INT(C43),OR(D43="未着手",D43="進行中")),IF(INT(B43)&lt;'今日の3件'!$C$5,"期限超過",IF(INT(B43)='今日の3件'!$C$5,"今日締切",IF(INT(B43)&lt;='今日の3件'!$C$5+3,"3日以内","これから"))),"入力確認")))</x:f>
      </x:c>
      <x:c r="F43" s="61"/>
      <x:c r="G43" s="66" t="n">
        <x:f>IF(OR(A43="",D43="完了",E43="入力確認"),999999999,INT(B43)*1000+ROW())</x:f>
        <x:v>999999999</x:v>
      </x:c>
      <x:c r="H43" s="66" t="n">
        <x:f>IF(G43=999999999,0,1)</x:f>
        <x:v>0</x:v>
      </x:c>
      <x:c r="I43" s="67" t="n">
        <x:f>IF(H43=0,0,IF(B43&lt;='今日の3件'!$C$5+7-WEEKDAY('今日の3件'!$C$5,2),C43,0))</x:f>
        <x:v>0</x:v>
      </x:c>
      <x:c r="J43" s="67" t="n">
        <x:f>IF(E43="入力確認",1,0)</x:f>
        <x:v>0</x:v>
      </x:c>
      <x:c r="K43" s="67" t="n">
        <x:f>IF(AND(A43&lt;&gt;"",D43="完了"),1,0)</x:f>
        <x:v>0</x:v>
      </x:c>
      <x:c r="L43" s="67" t="n">
        <x:f>IF(A43="",0,1)</x:f>
        <x:v>0</x:v>
      </x:c>
      <x:c r="M43" s="67" t="n">
        <x:f>IF(E43="期限超過",1,0)</x:f>
        <x:v>0</x:v>
      </x:c>
    </x:row>
    <x:row r="44" ht="28" customHeight="1">
      <x:c r="A44" s="62"/>
      <x:c r="B44" s="63"/>
      <x:c r="C44" s="65"/>
      <x:c r="D44" s="61"/>
      <x:c r="E44" s="49" t="str">
        <x:f>IF(A44="","",IF(D44="完了","完了",IF(AND(ISNUMBER(B44),B44&gt;=DATE(2000,1,1),B44&lt;=DATE(2100,12,31),ISNUMBER(C44),C44&gt;0,C44&lt;=100000,C44=INT(C44),OR(D44="未着手",D44="進行中")),IF(INT(B44)&lt;'今日の3件'!$C$5,"期限超過",IF(INT(B44)='今日の3件'!$C$5,"今日締切",IF(INT(B44)&lt;='今日の3件'!$C$5+3,"3日以内","これから"))),"入力確認")))</x:f>
      </x:c>
      <x:c r="F44" s="61"/>
      <x:c r="G44" s="66" t="n">
        <x:f>IF(OR(A44="",D44="完了",E44="入力確認"),999999999,INT(B44)*1000+ROW())</x:f>
        <x:v>999999999</x:v>
      </x:c>
      <x:c r="H44" s="66" t="n">
        <x:f>IF(G44=999999999,0,1)</x:f>
        <x:v>0</x:v>
      </x:c>
      <x:c r="I44" s="67" t="n">
        <x:f>IF(H44=0,0,IF(B44&lt;='今日の3件'!$C$5+7-WEEKDAY('今日の3件'!$C$5,2),C44,0))</x:f>
        <x:v>0</x:v>
      </x:c>
      <x:c r="J44" s="67" t="n">
        <x:f>IF(E44="入力確認",1,0)</x:f>
        <x:v>0</x:v>
      </x:c>
      <x:c r="K44" s="67" t="n">
        <x:f>IF(AND(A44&lt;&gt;"",D44="完了"),1,0)</x:f>
        <x:v>0</x:v>
      </x:c>
      <x:c r="L44" s="67" t="n">
        <x:f>IF(A44="",0,1)</x:f>
        <x:v>0</x:v>
      </x:c>
      <x:c r="M44" s="67" t="n">
        <x:f>IF(E44="期限超過",1,0)</x:f>
        <x:v>0</x:v>
      </x:c>
    </x:row>
    <x:row r="45" ht="28" customHeight="1">
      <x:c r="A45" s="62"/>
      <x:c r="B45" s="63"/>
      <x:c r="C45" s="65"/>
      <x:c r="D45" s="61"/>
      <x:c r="E45" s="49" t="str">
        <x:f>IF(A45="","",IF(D45="完了","完了",IF(AND(ISNUMBER(B45),B45&gt;=DATE(2000,1,1),B45&lt;=DATE(2100,12,31),ISNUMBER(C45),C45&gt;0,C45&lt;=100000,C45=INT(C45),OR(D45="未着手",D45="進行中")),IF(INT(B45)&lt;'今日の3件'!$C$5,"期限超過",IF(INT(B45)='今日の3件'!$C$5,"今日締切",IF(INT(B45)&lt;='今日の3件'!$C$5+3,"3日以内","これから"))),"入力確認")))</x:f>
      </x:c>
      <x:c r="F45" s="61"/>
      <x:c r="G45" s="66" t="n">
        <x:f>IF(OR(A45="",D45="完了",E45="入力確認"),999999999,INT(B45)*1000+ROW())</x:f>
        <x:v>999999999</x:v>
      </x:c>
      <x:c r="H45" s="66" t="n">
        <x:f>IF(G45=999999999,0,1)</x:f>
        <x:v>0</x:v>
      </x:c>
      <x:c r="I45" s="67" t="n">
        <x:f>IF(H45=0,0,IF(B45&lt;='今日の3件'!$C$5+7-WEEKDAY('今日の3件'!$C$5,2),C45,0))</x:f>
        <x:v>0</x:v>
      </x:c>
      <x:c r="J45" s="67" t="n">
        <x:f>IF(E45="入力確認",1,0)</x:f>
        <x:v>0</x:v>
      </x:c>
      <x:c r="K45" s="67" t="n">
        <x:f>IF(AND(A45&lt;&gt;"",D45="完了"),1,0)</x:f>
        <x:v>0</x:v>
      </x:c>
      <x:c r="L45" s="67" t="n">
        <x:f>IF(A45="",0,1)</x:f>
        <x:v>0</x:v>
      </x:c>
      <x:c r="M45" s="67" t="n">
        <x:f>IF(E45="期限超過",1,0)</x:f>
        <x:v>0</x:v>
      </x:c>
    </x:row>
    <x:row r="46" ht="28" customHeight="1">
      <x:c r="A46" s="62"/>
      <x:c r="B46" s="63"/>
      <x:c r="C46" s="65"/>
      <x:c r="D46" s="61"/>
      <x:c r="E46" s="49" t="str">
        <x:f>IF(A46="","",IF(D46="完了","完了",IF(AND(ISNUMBER(B46),B46&gt;=DATE(2000,1,1),B46&lt;=DATE(2100,12,31),ISNUMBER(C46),C46&gt;0,C46&lt;=100000,C46=INT(C46),OR(D46="未着手",D46="進行中")),IF(INT(B46)&lt;'今日の3件'!$C$5,"期限超過",IF(INT(B46)='今日の3件'!$C$5,"今日締切",IF(INT(B46)&lt;='今日の3件'!$C$5+3,"3日以内","これから"))),"入力確認")))</x:f>
      </x:c>
      <x:c r="F46" s="61"/>
      <x:c r="G46" s="66" t="n">
        <x:f>IF(OR(A46="",D46="完了",E46="入力確認"),999999999,INT(B46)*1000+ROW())</x:f>
        <x:v>999999999</x:v>
      </x:c>
      <x:c r="H46" s="66" t="n">
        <x:f>IF(G46=999999999,0,1)</x:f>
        <x:v>0</x:v>
      </x:c>
      <x:c r="I46" s="67" t="n">
        <x:f>IF(H46=0,0,IF(B46&lt;='今日の3件'!$C$5+7-WEEKDAY('今日の3件'!$C$5,2),C46,0))</x:f>
        <x:v>0</x:v>
      </x:c>
      <x:c r="J46" s="67" t="n">
        <x:f>IF(E46="入力確認",1,0)</x:f>
        <x:v>0</x:v>
      </x:c>
      <x:c r="K46" s="67" t="n">
        <x:f>IF(AND(A46&lt;&gt;"",D46="完了"),1,0)</x:f>
        <x:v>0</x:v>
      </x:c>
      <x:c r="L46" s="67" t="n">
        <x:f>IF(A46="",0,1)</x:f>
        <x:v>0</x:v>
      </x:c>
      <x:c r="M46" s="67" t="n">
        <x:f>IF(E46="期限超過",1,0)</x:f>
        <x:v>0</x:v>
      </x:c>
    </x:row>
    <x:row r="47" ht="28" customHeight="1">
      <x:c r="A47" s="62"/>
      <x:c r="B47" s="63"/>
      <x:c r="C47" s="65"/>
      <x:c r="D47" s="61"/>
      <x:c r="E47" s="49" t="str">
        <x:f>IF(A47="","",IF(D47="完了","完了",IF(AND(ISNUMBER(B47),B47&gt;=DATE(2000,1,1),B47&lt;=DATE(2100,12,31),ISNUMBER(C47),C47&gt;0,C47&lt;=100000,C47=INT(C47),OR(D47="未着手",D47="進行中")),IF(INT(B47)&lt;'今日の3件'!$C$5,"期限超過",IF(INT(B47)='今日の3件'!$C$5,"今日締切",IF(INT(B47)&lt;='今日の3件'!$C$5+3,"3日以内","これから"))),"入力確認")))</x:f>
      </x:c>
      <x:c r="F47" s="61"/>
      <x:c r="G47" s="66" t="n">
        <x:f>IF(OR(A47="",D47="完了",E47="入力確認"),999999999,INT(B47)*1000+ROW())</x:f>
        <x:v>999999999</x:v>
      </x:c>
      <x:c r="H47" s="66" t="n">
        <x:f>IF(G47=999999999,0,1)</x:f>
        <x:v>0</x:v>
      </x:c>
      <x:c r="I47" s="67" t="n">
        <x:f>IF(H47=0,0,IF(B47&lt;='今日の3件'!$C$5+7-WEEKDAY('今日の3件'!$C$5,2),C47,0))</x:f>
        <x:v>0</x:v>
      </x:c>
      <x:c r="J47" s="67" t="n">
        <x:f>IF(E47="入力確認",1,0)</x:f>
        <x:v>0</x:v>
      </x:c>
      <x:c r="K47" s="67" t="n">
        <x:f>IF(AND(A47&lt;&gt;"",D47="完了"),1,0)</x:f>
        <x:v>0</x:v>
      </x:c>
      <x:c r="L47" s="67" t="n">
        <x:f>IF(A47="",0,1)</x:f>
        <x:v>0</x:v>
      </x:c>
      <x:c r="M47" s="67" t="n">
        <x:f>IF(E47="期限超過",1,0)</x:f>
        <x:v>0</x:v>
      </x:c>
    </x:row>
    <x:row r="48" ht="28" customHeight="1">
      <x:c r="A48" s="62"/>
      <x:c r="B48" s="63"/>
      <x:c r="C48" s="65"/>
      <x:c r="D48" s="61"/>
      <x:c r="E48" s="49" t="str">
        <x:f>IF(A48="","",IF(D48="完了","完了",IF(AND(ISNUMBER(B48),B48&gt;=DATE(2000,1,1),B48&lt;=DATE(2100,12,31),ISNUMBER(C48),C48&gt;0,C48&lt;=100000,C48=INT(C48),OR(D48="未着手",D48="進行中")),IF(INT(B48)&lt;'今日の3件'!$C$5,"期限超過",IF(INT(B48)='今日の3件'!$C$5,"今日締切",IF(INT(B48)&lt;='今日の3件'!$C$5+3,"3日以内","これから"))),"入力確認")))</x:f>
      </x:c>
      <x:c r="F48" s="61"/>
      <x:c r="G48" s="66" t="n">
        <x:f>IF(OR(A48="",D48="完了",E48="入力確認"),999999999,INT(B48)*1000+ROW())</x:f>
        <x:v>999999999</x:v>
      </x:c>
      <x:c r="H48" s="66" t="n">
        <x:f>IF(G48=999999999,0,1)</x:f>
        <x:v>0</x:v>
      </x:c>
      <x:c r="I48" s="67" t="n">
        <x:f>IF(H48=0,0,IF(B48&lt;='今日の3件'!$C$5+7-WEEKDAY('今日の3件'!$C$5,2),C48,0))</x:f>
        <x:v>0</x:v>
      </x:c>
      <x:c r="J48" s="67" t="n">
        <x:f>IF(E48="入力確認",1,0)</x:f>
        <x:v>0</x:v>
      </x:c>
      <x:c r="K48" s="67" t="n">
        <x:f>IF(AND(A48&lt;&gt;"",D48="完了"),1,0)</x:f>
        <x:v>0</x:v>
      </x:c>
      <x:c r="L48" s="67" t="n">
        <x:f>IF(A48="",0,1)</x:f>
        <x:v>0</x:v>
      </x:c>
      <x:c r="M48" s="67" t="n">
        <x:f>IF(E48="期限超過",1,0)</x:f>
        <x:v>0</x:v>
      </x:c>
    </x:row>
    <x:row r="49" ht="28" customHeight="1">
      <x:c r="A49" s="62"/>
      <x:c r="B49" s="63"/>
      <x:c r="C49" s="65"/>
      <x:c r="D49" s="61"/>
      <x:c r="E49" s="49" t="str">
        <x:f>IF(A49="","",IF(D49="完了","完了",IF(AND(ISNUMBER(B49),B49&gt;=DATE(2000,1,1),B49&lt;=DATE(2100,12,31),ISNUMBER(C49),C49&gt;0,C49&lt;=100000,C49=INT(C49),OR(D49="未着手",D49="進行中")),IF(INT(B49)&lt;'今日の3件'!$C$5,"期限超過",IF(INT(B49)='今日の3件'!$C$5,"今日締切",IF(INT(B49)&lt;='今日の3件'!$C$5+3,"3日以内","これから"))),"入力確認")))</x:f>
      </x:c>
      <x:c r="F49" s="61"/>
      <x:c r="G49" s="66" t="n">
        <x:f>IF(OR(A49="",D49="完了",E49="入力確認"),999999999,INT(B49)*1000+ROW())</x:f>
        <x:v>999999999</x:v>
      </x:c>
      <x:c r="H49" s="66" t="n">
        <x:f>IF(G49=999999999,0,1)</x:f>
        <x:v>0</x:v>
      </x:c>
      <x:c r="I49" s="67" t="n">
        <x:f>IF(H49=0,0,IF(B49&lt;='今日の3件'!$C$5+7-WEEKDAY('今日の3件'!$C$5,2),C49,0))</x:f>
        <x:v>0</x:v>
      </x:c>
      <x:c r="J49" s="67" t="n">
        <x:f>IF(E49="入力確認",1,0)</x:f>
        <x:v>0</x:v>
      </x:c>
      <x:c r="K49" s="67" t="n">
        <x:f>IF(AND(A49&lt;&gt;"",D49="完了"),1,0)</x:f>
        <x:v>0</x:v>
      </x:c>
      <x:c r="L49" s="67" t="n">
        <x:f>IF(A49="",0,1)</x:f>
        <x:v>0</x:v>
      </x:c>
      <x:c r="M49" s="67" t="n">
        <x:f>IF(E49="期限超過",1,0)</x:f>
        <x:v>0</x:v>
      </x:c>
    </x:row>
    <x:row r="50" ht="28" customHeight="1">
      <x:c r="A50" s="62"/>
      <x:c r="B50" s="63"/>
      <x:c r="C50" s="65"/>
      <x:c r="D50" s="61"/>
      <x:c r="E50" s="49" t="str">
        <x:f>IF(A50="","",IF(D50="完了","完了",IF(AND(ISNUMBER(B50),B50&gt;=DATE(2000,1,1),B50&lt;=DATE(2100,12,31),ISNUMBER(C50),C50&gt;0,C50&lt;=100000,C50=INT(C50),OR(D50="未着手",D50="進行中")),IF(INT(B50)&lt;'今日の3件'!$C$5,"期限超過",IF(INT(B50)='今日の3件'!$C$5,"今日締切",IF(INT(B50)&lt;='今日の3件'!$C$5+3,"3日以内","これから"))),"入力確認")))</x:f>
      </x:c>
      <x:c r="F50" s="61"/>
      <x:c r="G50" s="66" t="n">
        <x:f>IF(OR(A50="",D50="完了",E50="入力確認"),999999999,INT(B50)*1000+ROW())</x:f>
        <x:v>999999999</x:v>
      </x:c>
      <x:c r="H50" s="66" t="n">
        <x:f>IF(G50=999999999,0,1)</x:f>
        <x:v>0</x:v>
      </x:c>
      <x:c r="I50" s="67" t="n">
        <x:f>IF(H50=0,0,IF(B50&lt;='今日の3件'!$C$5+7-WEEKDAY('今日の3件'!$C$5,2),C50,0))</x:f>
        <x:v>0</x:v>
      </x:c>
      <x:c r="J50" s="67" t="n">
        <x:f>IF(E50="入力確認",1,0)</x:f>
        <x:v>0</x:v>
      </x:c>
      <x:c r="K50" s="67" t="n">
        <x:f>IF(AND(A50&lt;&gt;"",D50="完了"),1,0)</x:f>
        <x:v>0</x:v>
      </x:c>
      <x:c r="L50" s="67" t="n">
        <x:f>IF(A50="",0,1)</x:f>
        <x:v>0</x:v>
      </x:c>
      <x:c r="M50" s="67" t="n">
        <x:f>IF(E50="期限超過",1,0)</x:f>
        <x:v>0</x:v>
      </x:c>
    </x:row>
    <x:row r="51" ht="28" customHeight="1">
      <x:c r="A51" s="62"/>
      <x:c r="B51" s="63"/>
      <x:c r="C51" s="65"/>
      <x:c r="D51" s="61"/>
      <x:c r="E51" s="49" t="str">
        <x:f>IF(A51="","",IF(D51="完了","完了",IF(AND(ISNUMBER(B51),B51&gt;=DATE(2000,1,1),B51&lt;=DATE(2100,12,31),ISNUMBER(C51),C51&gt;0,C51&lt;=100000,C51=INT(C51),OR(D51="未着手",D51="進行中")),IF(INT(B51)&lt;'今日の3件'!$C$5,"期限超過",IF(INT(B51)='今日の3件'!$C$5,"今日締切",IF(INT(B51)&lt;='今日の3件'!$C$5+3,"3日以内","これから"))),"入力確認")))</x:f>
      </x:c>
      <x:c r="F51" s="61"/>
      <x:c r="G51" s="66" t="n">
        <x:f>IF(OR(A51="",D51="完了",E51="入力確認"),999999999,INT(B51)*1000+ROW())</x:f>
        <x:v>999999999</x:v>
      </x:c>
      <x:c r="H51" s="66" t="n">
        <x:f>IF(G51=999999999,0,1)</x:f>
        <x:v>0</x:v>
      </x:c>
      <x:c r="I51" s="67" t="n">
        <x:f>IF(H51=0,0,IF(B51&lt;='今日の3件'!$C$5+7-WEEKDAY('今日の3件'!$C$5,2),C51,0))</x:f>
        <x:v>0</x:v>
      </x:c>
      <x:c r="J51" s="67" t="n">
        <x:f>IF(E51="入力確認",1,0)</x:f>
        <x:v>0</x:v>
      </x:c>
      <x:c r="K51" s="67" t="n">
        <x:f>IF(AND(A51&lt;&gt;"",D51="完了"),1,0)</x:f>
        <x:v>0</x:v>
      </x:c>
      <x:c r="L51" s="67" t="n">
        <x:f>IF(A51="",0,1)</x:f>
        <x:v>0</x:v>
      </x:c>
      <x:c r="M51" s="67" t="n">
        <x:f>IF(E51="期限超過",1,0)</x:f>
        <x:v>0</x:v>
      </x:c>
    </x:row>
    <x:row r="52" ht="28" customHeight="1">
      <x:c r="A52" s="62"/>
      <x:c r="B52" s="63"/>
      <x:c r="C52" s="65"/>
      <x:c r="D52" s="61"/>
      <x:c r="E52" s="49" t="str">
        <x:f>IF(A52="","",IF(D52="完了","完了",IF(AND(ISNUMBER(B52),B52&gt;=DATE(2000,1,1),B52&lt;=DATE(2100,12,31),ISNUMBER(C52),C52&gt;0,C52&lt;=100000,C52=INT(C52),OR(D52="未着手",D52="進行中")),IF(INT(B52)&lt;'今日の3件'!$C$5,"期限超過",IF(INT(B52)='今日の3件'!$C$5,"今日締切",IF(INT(B52)&lt;='今日の3件'!$C$5+3,"3日以内","これから"))),"入力確認")))</x:f>
      </x:c>
      <x:c r="F52" s="61"/>
      <x:c r="G52" s="66" t="n">
        <x:f>IF(OR(A52="",D52="完了",E52="入力確認"),999999999,INT(B52)*1000+ROW())</x:f>
        <x:v>999999999</x:v>
      </x:c>
      <x:c r="H52" s="66" t="n">
        <x:f>IF(G52=999999999,0,1)</x:f>
        <x:v>0</x:v>
      </x:c>
      <x:c r="I52" s="67" t="n">
        <x:f>IF(H52=0,0,IF(B52&lt;='今日の3件'!$C$5+7-WEEKDAY('今日の3件'!$C$5,2),C52,0))</x:f>
        <x:v>0</x:v>
      </x:c>
      <x:c r="J52" s="67" t="n">
        <x:f>IF(E52="入力確認",1,0)</x:f>
        <x:v>0</x:v>
      </x:c>
      <x:c r="K52" s="67" t="n">
        <x:f>IF(AND(A52&lt;&gt;"",D52="完了"),1,0)</x:f>
        <x:v>0</x:v>
      </x:c>
      <x:c r="L52" s="67" t="n">
        <x:f>IF(A52="",0,1)</x:f>
        <x:v>0</x:v>
      </x:c>
      <x:c r="M52" s="67" t="n">
        <x:f>IF(E52="期限超過",1,0)</x:f>
        <x:v>0</x:v>
      </x:c>
    </x:row>
    <x:row r="53" ht="28" customHeight="1">
      <x:c r="A53" s="62"/>
      <x:c r="B53" s="63"/>
      <x:c r="C53" s="65"/>
      <x:c r="D53" s="61"/>
      <x:c r="E53" s="49" t="str">
        <x:f>IF(A53="","",IF(D53="完了","完了",IF(AND(ISNUMBER(B53),B53&gt;=DATE(2000,1,1),B53&lt;=DATE(2100,12,31),ISNUMBER(C53),C53&gt;0,C53&lt;=100000,C53=INT(C53),OR(D53="未着手",D53="進行中")),IF(INT(B53)&lt;'今日の3件'!$C$5,"期限超過",IF(INT(B53)='今日の3件'!$C$5,"今日締切",IF(INT(B53)&lt;='今日の3件'!$C$5+3,"3日以内","これから"))),"入力確認")))</x:f>
      </x:c>
      <x:c r="F53" s="61"/>
      <x:c r="G53" s="66" t="n">
        <x:f>IF(OR(A53="",D53="完了",E53="入力確認"),999999999,INT(B53)*1000+ROW())</x:f>
        <x:v>999999999</x:v>
      </x:c>
      <x:c r="H53" s="66" t="n">
        <x:f>IF(G53=999999999,0,1)</x:f>
        <x:v>0</x:v>
      </x:c>
      <x:c r="I53" s="67" t="n">
        <x:f>IF(H53=0,0,IF(B53&lt;='今日の3件'!$C$5+7-WEEKDAY('今日の3件'!$C$5,2),C53,0))</x:f>
        <x:v>0</x:v>
      </x:c>
      <x:c r="J53" s="67" t="n">
        <x:f>IF(E53="入力確認",1,0)</x:f>
        <x:v>0</x:v>
      </x:c>
      <x:c r="K53" s="67" t="n">
        <x:f>IF(AND(A53&lt;&gt;"",D53="完了"),1,0)</x:f>
        <x:v>0</x:v>
      </x:c>
      <x:c r="L53" s="67" t="n">
        <x:f>IF(A53="",0,1)</x:f>
        <x:v>0</x:v>
      </x:c>
      <x:c r="M53" s="67" t="n">
        <x:f>IF(E53="期限超過",1,0)</x:f>
        <x:v>0</x:v>
      </x:c>
    </x:row>
    <x:row r="54" ht="28" customHeight="1">
      <x:c r="A54" s="62"/>
      <x:c r="B54" s="63"/>
      <x:c r="C54" s="65"/>
      <x:c r="D54" s="61"/>
      <x:c r="E54" s="49" t="str">
        <x:f>IF(A54="","",IF(D54="完了","完了",IF(AND(ISNUMBER(B54),B54&gt;=DATE(2000,1,1),B54&lt;=DATE(2100,12,31),ISNUMBER(C54),C54&gt;0,C54&lt;=100000,C54=INT(C54),OR(D54="未着手",D54="進行中")),IF(INT(B54)&lt;'今日の3件'!$C$5,"期限超過",IF(INT(B54)='今日の3件'!$C$5,"今日締切",IF(INT(B54)&lt;='今日の3件'!$C$5+3,"3日以内","これから"))),"入力確認")))</x:f>
      </x:c>
      <x:c r="F54" s="61"/>
      <x:c r="G54" s="66" t="n">
        <x:f>IF(OR(A54="",D54="完了",E54="入力確認"),999999999,INT(B54)*1000+ROW())</x:f>
        <x:v>999999999</x:v>
      </x:c>
      <x:c r="H54" s="66" t="n">
        <x:f>IF(G54=999999999,0,1)</x:f>
        <x:v>0</x:v>
      </x:c>
      <x:c r="I54" s="67" t="n">
        <x:f>IF(H54=0,0,IF(B54&lt;='今日の3件'!$C$5+7-WEEKDAY('今日の3件'!$C$5,2),C54,0))</x:f>
        <x:v>0</x:v>
      </x:c>
      <x:c r="J54" s="67" t="n">
        <x:f>IF(E54="入力確認",1,0)</x:f>
        <x:v>0</x:v>
      </x:c>
      <x:c r="K54" s="67" t="n">
        <x:f>IF(AND(A54&lt;&gt;"",D54="完了"),1,0)</x:f>
        <x:v>0</x:v>
      </x:c>
      <x:c r="L54" s="67" t="n">
        <x:f>IF(A54="",0,1)</x:f>
        <x:v>0</x:v>
      </x:c>
      <x:c r="M54" s="67" t="n">
        <x:f>IF(E54="期限超過",1,0)</x:f>
        <x:v>0</x:v>
      </x:c>
    </x:row>
    <x:row r="55" ht="28" customHeight="1">
      <x:c r="A55" s="62"/>
      <x:c r="B55" s="63"/>
      <x:c r="C55" s="65"/>
      <x:c r="D55" s="61"/>
      <x:c r="E55" s="49" t="str">
        <x:f>IF(A55="","",IF(D55="完了","完了",IF(AND(ISNUMBER(B55),B55&gt;=DATE(2000,1,1),B55&lt;=DATE(2100,12,31),ISNUMBER(C55),C55&gt;0,C55&lt;=100000,C55=INT(C55),OR(D55="未着手",D55="進行中")),IF(INT(B55)&lt;'今日の3件'!$C$5,"期限超過",IF(INT(B55)='今日の3件'!$C$5,"今日締切",IF(INT(B55)&lt;='今日の3件'!$C$5+3,"3日以内","これから"))),"入力確認")))</x:f>
      </x:c>
      <x:c r="F55" s="61"/>
      <x:c r="G55" s="66" t="n">
        <x:f>IF(OR(A55="",D55="完了",E55="入力確認"),999999999,INT(B55)*1000+ROW())</x:f>
        <x:v>999999999</x:v>
      </x:c>
      <x:c r="H55" s="66" t="n">
        <x:f>IF(G55=999999999,0,1)</x:f>
        <x:v>0</x:v>
      </x:c>
      <x:c r="I55" s="67" t="n">
        <x:f>IF(H55=0,0,IF(B55&lt;='今日の3件'!$C$5+7-WEEKDAY('今日の3件'!$C$5,2),C55,0))</x:f>
        <x:v>0</x:v>
      </x:c>
      <x:c r="J55" s="67" t="n">
        <x:f>IF(E55="入力確認",1,0)</x:f>
        <x:v>0</x:v>
      </x:c>
      <x:c r="K55" s="67" t="n">
        <x:f>IF(AND(A55&lt;&gt;"",D55="完了"),1,0)</x:f>
        <x:v>0</x:v>
      </x:c>
      <x:c r="L55" s="67" t="n">
        <x:f>IF(A55="",0,1)</x:f>
        <x:v>0</x:v>
      </x:c>
      <x:c r="M55" s="67" t="n">
        <x:f>IF(E55="期限超過",1,0)</x:f>
        <x:v>0</x:v>
      </x:c>
    </x:row>
    <x:row r="56" ht="28" customHeight="1">
      <x:c r="A56" s="62"/>
      <x:c r="B56" s="63"/>
      <x:c r="C56" s="65"/>
      <x:c r="D56" s="61"/>
      <x:c r="E56" s="49" t="str">
        <x:f>IF(A56="","",IF(D56="完了","完了",IF(AND(ISNUMBER(B56),B56&gt;=DATE(2000,1,1),B56&lt;=DATE(2100,12,31),ISNUMBER(C56),C56&gt;0,C56&lt;=100000,C56=INT(C56),OR(D56="未着手",D56="進行中")),IF(INT(B56)&lt;'今日の3件'!$C$5,"期限超過",IF(INT(B56)='今日の3件'!$C$5,"今日締切",IF(INT(B56)&lt;='今日の3件'!$C$5+3,"3日以内","これから"))),"入力確認")))</x:f>
      </x:c>
      <x:c r="F56" s="61"/>
      <x:c r="G56" s="66" t="n">
        <x:f>IF(OR(A56="",D56="完了",E56="入力確認"),999999999,INT(B56)*1000+ROW())</x:f>
        <x:v>999999999</x:v>
      </x:c>
      <x:c r="H56" s="66" t="n">
        <x:f>IF(G56=999999999,0,1)</x:f>
        <x:v>0</x:v>
      </x:c>
      <x:c r="I56" s="67" t="n">
        <x:f>IF(H56=0,0,IF(B56&lt;='今日の3件'!$C$5+7-WEEKDAY('今日の3件'!$C$5,2),C56,0))</x:f>
        <x:v>0</x:v>
      </x:c>
      <x:c r="J56" s="67" t="n">
        <x:f>IF(E56="入力確認",1,0)</x:f>
        <x:v>0</x:v>
      </x:c>
      <x:c r="K56" s="67" t="n">
        <x:f>IF(AND(A56&lt;&gt;"",D56="完了"),1,0)</x:f>
        <x:v>0</x:v>
      </x:c>
      <x:c r="L56" s="67" t="n">
        <x:f>IF(A56="",0,1)</x:f>
        <x:v>0</x:v>
      </x:c>
      <x:c r="M56" s="67" t="n">
        <x:f>IF(E56="期限超過",1,0)</x:f>
        <x:v>0</x:v>
      </x:c>
    </x:row>
    <x:row r="57" ht="28" customHeight="1">
      <x:c r="A57" s="62"/>
      <x:c r="B57" s="63"/>
      <x:c r="C57" s="65"/>
      <x:c r="D57" s="61"/>
      <x:c r="E57" s="49" t="str">
        <x:f>IF(A57="","",IF(D57="完了","完了",IF(AND(ISNUMBER(B57),B57&gt;=DATE(2000,1,1),B57&lt;=DATE(2100,12,31),ISNUMBER(C57),C57&gt;0,C57&lt;=100000,C57=INT(C57),OR(D57="未着手",D57="進行中")),IF(INT(B57)&lt;'今日の3件'!$C$5,"期限超過",IF(INT(B57)='今日の3件'!$C$5,"今日締切",IF(INT(B57)&lt;='今日の3件'!$C$5+3,"3日以内","これから"))),"入力確認")))</x:f>
      </x:c>
      <x:c r="F57" s="61"/>
      <x:c r="G57" s="66" t="n">
        <x:f>IF(OR(A57="",D57="完了",E57="入力確認"),999999999,INT(B57)*1000+ROW())</x:f>
        <x:v>999999999</x:v>
      </x:c>
      <x:c r="H57" s="66" t="n">
        <x:f>IF(G57=999999999,0,1)</x:f>
        <x:v>0</x:v>
      </x:c>
      <x:c r="I57" s="67" t="n">
        <x:f>IF(H57=0,0,IF(B57&lt;='今日の3件'!$C$5+7-WEEKDAY('今日の3件'!$C$5,2),C57,0))</x:f>
        <x:v>0</x:v>
      </x:c>
      <x:c r="J57" s="67" t="n">
        <x:f>IF(E57="入力確認",1,0)</x:f>
        <x:v>0</x:v>
      </x:c>
      <x:c r="K57" s="67" t="n">
        <x:f>IF(AND(A57&lt;&gt;"",D57="完了"),1,0)</x:f>
        <x:v>0</x:v>
      </x:c>
      <x:c r="L57" s="67" t="n">
        <x:f>IF(A57="",0,1)</x:f>
        <x:v>0</x:v>
      </x:c>
      <x:c r="M57" s="67" t="n">
        <x:f>IF(E57="期限超過",1,0)</x:f>
        <x:v>0</x:v>
      </x:c>
    </x:row>
    <x:row r="58" ht="28" customHeight="1">
      <x:c r="A58" s="62"/>
      <x:c r="B58" s="63"/>
      <x:c r="C58" s="65"/>
      <x:c r="D58" s="61"/>
      <x:c r="E58" s="49" t="str">
        <x:f>IF(A58="","",IF(D58="完了","完了",IF(AND(ISNUMBER(B58),B58&gt;=DATE(2000,1,1),B58&lt;=DATE(2100,12,31),ISNUMBER(C58),C58&gt;0,C58&lt;=100000,C58=INT(C58),OR(D58="未着手",D58="進行中")),IF(INT(B58)&lt;'今日の3件'!$C$5,"期限超過",IF(INT(B58)='今日の3件'!$C$5,"今日締切",IF(INT(B58)&lt;='今日の3件'!$C$5+3,"3日以内","これから"))),"入力確認")))</x:f>
      </x:c>
      <x:c r="F58" s="61"/>
      <x:c r="G58" s="66" t="n">
        <x:f>IF(OR(A58="",D58="完了",E58="入力確認"),999999999,INT(B58)*1000+ROW())</x:f>
        <x:v>999999999</x:v>
      </x:c>
      <x:c r="H58" s="66" t="n">
        <x:f>IF(G58=999999999,0,1)</x:f>
        <x:v>0</x:v>
      </x:c>
      <x:c r="I58" s="67" t="n">
        <x:f>IF(H58=0,0,IF(B58&lt;='今日の3件'!$C$5+7-WEEKDAY('今日の3件'!$C$5,2),C58,0))</x:f>
        <x:v>0</x:v>
      </x:c>
      <x:c r="J58" s="67" t="n">
        <x:f>IF(E58="入力確認",1,0)</x:f>
        <x:v>0</x:v>
      </x:c>
      <x:c r="K58" s="67" t="n">
        <x:f>IF(AND(A58&lt;&gt;"",D58="完了"),1,0)</x:f>
        <x:v>0</x:v>
      </x:c>
      <x:c r="L58" s="67" t="n">
        <x:f>IF(A58="",0,1)</x:f>
        <x:v>0</x:v>
      </x:c>
      <x:c r="M58" s="67" t="n">
        <x:f>IF(E58="期限超過",1,0)</x:f>
        <x:v>0</x:v>
      </x:c>
    </x:row>
    <x:row r="59" ht="28" customHeight="1">
      <x:c r="A59" s="62"/>
      <x:c r="B59" s="63"/>
      <x:c r="C59" s="65"/>
      <x:c r="D59" s="61"/>
      <x:c r="E59" s="49" t="str">
        <x:f>IF(A59="","",IF(D59="完了","完了",IF(AND(ISNUMBER(B59),B59&gt;=DATE(2000,1,1),B59&lt;=DATE(2100,12,31),ISNUMBER(C59),C59&gt;0,C59&lt;=100000,C59=INT(C59),OR(D59="未着手",D59="進行中")),IF(INT(B59)&lt;'今日の3件'!$C$5,"期限超過",IF(INT(B59)='今日の3件'!$C$5,"今日締切",IF(INT(B59)&lt;='今日の3件'!$C$5+3,"3日以内","これから"))),"入力確認")))</x:f>
      </x:c>
      <x:c r="F59" s="61"/>
      <x:c r="G59" s="66" t="n">
        <x:f>IF(OR(A59="",D59="完了",E59="入力確認"),999999999,INT(B59)*1000+ROW())</x:f>
        <x:v>999999999</x:v>
      </x:c>
      <x:c r="H59" s="66" t="n">
        <x:f>IF(G59=999999999,0,1)</x:f>
        <x:v>0</x:v>
      </x:c>
      <x:c r="I59" s="67" t="n">
        <x:f>IF(H59=0,0,IF(B59&lt;='今日の3件'!$C$5+7-WEEKDAY('今日の3件'!$C$5,2),C59,0))</x:f>
        <x:v>0</x:v>
      </x:c>
      <x:c r="J59" s="67" t="n">
        <x:f>IF(E59="入力確認",1,0)</x:f>
        <x:v>0</x:v>
      </x:c>
      <x:c r="K59" s="67" t="n">
        <x:f>IF(AND(A59&lt;&gt;"",D59="完了"),1,0)</x:f>
        <x:v>0</x:v>
      </x:c>
      <x:c r="L59" s="67" t="n">
        <x:f>IF(A59="",0,1)</x:f>
        <x:v>0</x:v>
      </x:c>
      <x:c r="M59" s="67" t="n">
        <x:f>IF(E59="期限超過",1,0)</x:f>
        <x:v>0</x:v>
      </x:c>
    </x:row>
    <x:row r="60" ht="28" customHeight="1">
      <x:c r="A60" s="62"/>
      <x:c r="B60" s="63"/>
      <x:c r="C60" s="65"/>
      <x:c r="D60" s="61"/>
      <x:c r="E60" s="49" t="str">
        <x:f>IF(A60="","",IF(D60="完了","完了",IF(AND(ISNUMBER(B60),B60&gt;=DATE(2000,1,1),B60&lt;=DATE(2100,12,31),ISNUMBER(C60),C60&gt;0,C60&lt;=100000,C60=INT(C60),OR(D60="未着手",D60="進行中")),IF(INT(B60)&lt;'今日の3件'!$C$5,"期限超過",IF(INT(B60)='今日の3件'!$C$5,"今日締切",IF(INT(B60)&lt;='今日の3件'!$C$5+3,"3日以内","これから"))),"入力確認")))</x:f>
      </x:c>
      <x:c r="F60" s="61"/>
      <x:c r="G60" s="66" t="n">
        <x:f>IF(OR(A60="",D60="完了",E60="入力確認"),999999999,INT(B60)*1000+ROW())</x:f>
        <x:v>999999999</x:v>
      </x:c>
      <x:c r="H60" s="66" t="n">
        <x:f>IF(G60=999999999,0,1)</x:f>
        <x:v>0</x:v>
      </x:c>
      <x:c r="I60" s="67" t="n">
        <x:f>IF(H60=0,0,IF(B60&lt;='今日の3件'!$C$5+7-WEEKDAY('今日の3件'!$C$5,2),C60,0))</x:f>
        <x:v>0</x:v>
      </x:c>
      <x:c r="J60" s="67" t="n">
        <x:f>IF(E60="入力確認",1,0)</x:f>
        <x:v>0</x:v>
      </x:c>
      <x:c r="K60" s="67" t="n">
        <x:f>IF(AND(A60&lt;&gt;"",D60="完了"),1,0)</x:f>
        <x:v>0</x:v>
      </x:c>
      <x:c r="L60" s="67" t="n">
        <x:f>IF(A60="",0,1)</x:f>
        <x:v>0</x:v>
      </x:c>
      <x:c r="M60" s="67" t="n">
        <x:f>IF(E60="期限超過",1,0)</x:f>
        <x:v>0</x:v>
      </x:c>
    </x:row>
    <x:row r="61" ht="28" customHeight="1">
      <x:c r="A61" s="62"/>
      <x:c r="B61" s="63"/>
      <x:c r="C61" s="65"/>
      <x:c r="D61" s="61"/>
      <x:c r="E61" s="49" t="str">
        <x:f>IF(A61="","",IF(D61="完了","完了",IF(AND(ISNUMBER(B61),B61&gt;=DATE(2000,1,1),B61&lt;=DATE(2100,12,31),ISNUMBER(C61),C61&gt;0,C61&lt;=100000,C61=INT(C61),OR(D61="未着手",D61="進行中")),IF(INT(B61)&lt;'今日の3件'!$C$5,"期限超過",IF(INT(B61)='今日の3件'!$C$5,"今日締切",IF(INT(B61)&lt;='今日の3件'!$C$5+3,"3日以内","これから"))),"入力確認")))</x:f>
      </x:c>
      <x:c r="F61" s="61"/>
      <x:c r="G61" s="66" t="n">
        <x:f>IF(OR(A61="",D61="完了",E61="入力確認"),999999999,INT(B61)*1000+ROW())</x:f>
        <x:v>999999999</x:v>
      </x:c>
      <x:c r="H61" s="66" t="n">
        <x:f>IF(G61=999999999,0,1)</x:f>
        <x:v>0</x:v>
      </x:c>
      <x:c r="I61" s="67" t="n">
        <x:f>IF(H61=0,0,IF(B61&lt;='今日の3件'!$C$5+7-WEEKDAY('今日の3件'!$C$5,2),C61,0))</x:f>
        <x:v>0</x:v>
      </x:c>
      <x:c r="J61" s="67" t="n">
        <x:f>IF(E61="入力確認",1,0)</x:f>
        <x:v>0</x:v>
      </x:c>
      <x:c r="K61" s="67" t="n">
        <x:f>IF(AND(A61&lt;&gt;"",D61="完了"),1,0)</x:f>
        <x:v>0</x:v>
      </x:c>
      <x:c r="L61" s="67" t="n">
        <x:f>IF(A61="",0,1)</x:f>
        <x:v>0</x:v>
      </x:c>
      <x:c r="M61" s="67" t="n">
        <x:f>IF(E61="期限超過",1,0)</x:f>
        <x:v>0</x:v>
      </x:c>
    </x:row>
    <x:row r="62" ht="28" customHeight="1">
      <x:c r="A62" s="62"/>
      <x:c r="B62" s="63"/>
      <x:c r="C62" s="65"/>
      <x:c r="D62" s="61"/>
      <x:c r="E62" s="49" t="str">
        <x:f>IF(A62="","",IF(D62="完了","完了",IF(AND(ISNUMBER(B62),B62&gt;=DATE(2000,1,1),B62&lt;=DATE(2100,12,31),ISNUMBER(C62),C62&gt;0,C62&lt;=100000,C62=INT(C62),OR(D62="未着手",D62="進行中")),IF(INT(B62)&lt;'今日の3件'!$C$5,"期限超過",IF(INT(B62)='今日の3件'!$C$5,"今日締切",IF(INT(B62)&lt;='今日の3件'!$C$5+3,"3日以内","これから"))),"入力確認")))</x:f>
      </x:c>
      <x:c r="F62" s="61"/>
      <x:c r="G62" s="66" t="n">
        <x:f>IF(OR(A62="",D62="完了",E62="入力確認"),999999999,INT(B62)*1000+ROW())</x:f>
        <x:v>999999999</x:v>
      </x:c>
      <x:c r="H62" s="66" t="n">
        <x:f>IF(G62=999999999,0,1)</x:f>
        <x:v>0</x:v>
      </x:c>
      <x:c r="I62" s="67" t="n">
        <x:f>IF(H62=0,0,IF(B62&lt;='今日の3件'!$C$5+7-WEEKDAY('今日の3件'!$C$5,2),C62,0))</x:f>
        <x:v>0</x:v>
      </x:c>
      <x:c r="J62" s="67" t="n">
        <x:f>IF(E62="入力確認",1,0)</x:f>
        <x:v>0</x:v>
      </x:c>
      <x:c r="K62" s="67" t="n">
        <x:f>IF(AND(A62&lt;&gt;"",D62="完了"),1,0)</x:f>
        <x:v>0</x:v>
      </x:c>
      <x:c r="L62" s="67" t="n">
        <x:f>IF(A62="",0,1)</x:f>
        <x:v>0</x:v>
      </x:c>
      <x:c r="M62" s="67" t="n">
        <x:f>IF(E62="期限超過",1,0)</x:f>
        <x:v>0</x:v>
      </x:c>
    </x:row>
    <x:row r="63" ht="28" customHeight="1">
      <x:c r="A63" s="62"/>
      <x:c r="B63" s="63"/>
      <x:c r="C63" s="65"/>
      <x:c r="D63" s="61"/>
      <x:c r="E63" s="49" t="str">
        <x:f>IF(A63="","",IF(D63="完了","完了",IF(AND(ISNUMBER(B63),B63&gt;=DATE(2000,1,1),B63&lt;=DATE(2100,12,31),ISNUMBER(C63),C63&gt;0,C63&lt;=100000,C63=INT(C63),OR(D63="未着手",D63="進行中")),IF(INT(B63)&lt;'今日の3件'!$C$5,"期限超過",IF(INT(B63)='今日の3件'!$C$5,"今日締切",IF(INT(B63)&lt;='今日の3件'!$C$5+3,"3日以内","これから"))),"入力確認")))</x:f>
      </x:c>
      <x:c r="F63" s="61"/>
      <x:c r="G63" s="66" t="n">
        <x:f>IF(OR(A63="",D63="完了",E63="入力確認"),999999999,INT(B63)*1000+ROW())</x:f>
        <x:v>999999999</x:v>
      </x:c>
      <x:c r="H63" s="66" t="n">
        <x:f>IF(G63=999999999,0,1)</x:f>
        <x:v>0</x:v>
      </x:c>
      <x:c r="I63" s="67" t="n">
        <x:f>IF(H63=0,0,IF(B63&lt;='今日の3件'!$C$5+7-WEEKDAY('今日の3件'!$C$5,2),C63,0))</x:f>
        <x:v>0</x:v>
      </x:c>
      <x:c r="J63" s="67" t="n">
        <x:f>IF(E63="入力確認",1,0)</x:f>
        <x:v>0</x:v>
      </x:c>
      <x:c r="K63" s="67" t="n">
        <x:f>IF(AND(A63&lt;&gt;"",D63="完了"),1,0)</x:f>
        <x:v>0</x:v>
      </x:c>
      <x:c r="L63" s="67" t="n">
        <x:f>IF(A63="",0,1)</x:f>
        <x:v>0</x:v>
      </x:c>
      <x:c r="M63" s="67" t="n">
        <x:f>IF(E63="期限超過",1,0)</x:f>
        <x:v>0</x:v>
      </x:c>
    </x:row>
    <x:row r="64" ht="28" customHeight="1">
      <x:c r="A64" s="62"/>
      <x:c r="B64" s="63"/>
      <x:c r="C64" s="65"/>
      <x:c r="D64" s="61"/>
      <x:c r="E64" s="49" t="str">
        <x:f>IF(A64="","",IF(D64="完了","完了",IF(AND(ISNUMBER(B64),B64&gt;=DATE(2000,1,1),B64&lt;=DATE(2100,12,31),ISNUMBER(C64),C64&gt;0,C64&lt;=100000,C64=INT(C64),OR(D64="未着手",D64="進行中")),IF(INT(B64)&lt;'今日の3件'!$C$5,"期限超過",IF(INT(B64)='今日の3件'!$C$5,"今日締切",IF(INT(B64)&lt;='今日の3件'!$C$5+3,"3日以内","これから"))),"入力確認")))</x:f>
      </x:c>
      <x:c r="F64" s="61"/>
      <x:c r="G64" s="66" t="n">
        <x:f>IF(OR(A64="",D64="完了",E64="入力確認"),999999999,INT(B64)*1000+ROW())</x:f>
        <x:v>999999999</x:v>
      </x:c>
      <x:c r="H64" s="66" t="n">
        <x:f>IF(G64=999999999,0,1)</x:f>
        <x:v>0</x:v>
      </x:c>
      <x:c r="I64" s="67" t="n">
        <x:f>IF(H64=0,0,IF(B64&lt;='今日の3件'!$C$5+7-WEEKDAY('今日の3件'!$C$5,2),C64,0))</x:f>
        <x:v>0</x:v>
      </x:c>
      <x:c r="J64" s="67" t="n">
        <x:f>IF(E64="入力確認",1,0)</x:f>
        <x:v>0</x:v>
      </x:c>
      <x:c r="K64" s="67" t="n">
        <x:f>IF(AND(A64&lt;&gt;"",D64="完了"),1,0)</x:f>
        <x:v>0</x:v>
      </x:c>
      <x:c r="L64" s="67" t="n">
        <x:f>IF(A64="",0,1)</x:f>
        <x:v>0</x:v>
      </x:c>
      <x:c r="M64" s="67" t="n">
        <x:f>IF(E64="期限超過",1,0)</x:f>
        <x:v>0</x:v>
      </x:c>
    </x:row>
    <x:row r="65" ht="28" customHeight="1">
      <x:c r="A65" s="62"/>
      <x:c r="B65" s="63"/>
      <x:c r="C65" s="65"/>
      <x:c r="D65" s="61"/>
      <x:c r="E65" s="49" t="str">
        <x:f>IF(A65="","",IF(D65="完了","完了",IF(AND(ISNUMBER(B65),B65&gt;=DATE(2000,1,1),B65&lt;=DATE(2100,12,31),ISNUMBER(C65),C65&gt;0,C65&lt;=100000,C65=INT(C65),OR(D65="未着手",D65="進行中")),IF(INT(B65)&lt;'今日の3件'!$C$5,"期限超過",IF(INT(B65)='今日の3件'!$C$5,"今日締切",IF(INT(B65)&lt;='今日の3件'!$C$5+3,"3日以内","これから"))),"入力確認")))</x:f>
      </x:c>
      <x:c r="F65" s="61"/>
      <x:c r="G65" s="66" t="n">
        <x:f>IF(OR(A65="",D65="完了",E65="入力確認"),999999999,INT(B65)*1000+ROW())</x:f>
        <x:v>999999999</x:v>
      </x:c>
      <x:c r="H65" s="66" t="n">
        <x:f>IF(G65=999999999,0,1)</x:f>
        <x:v>0</x:v>
      </x:c>
      <x:c r="I65" s="67" t="n">
        <x:f>IF(H65=0,0,IF(B65&lt;='今日の3件'!$C$5+7-WEEKDAY('今日の3件'!$C$5,2),C65,0))</x:f>
        <x:v>0</x:v>
      </x:c>
      <x:c r="J65" s="67" t="n">
        <x:f>IF(E65="入力確認",1,0)</x:f>
        <x:v>0</x:v>
      </x:c>
      <x:c r="K65" s="67" t="n">
        <x:f>IF(AND(A65&lt;&gt;"",D65="完了"),1,0)</x:f>
        <x:v>0</x:v>
      </x:c>
      <x:c r="L65" s="67" t="n">
        <x:f>IF(A65="",0,1)</x:f>
        <x:v>0</x:v>
      </x:c>
      <x:c r="M65" s="67" t="n">
        <x:f>IF(E65="期限超過",1,0)</x:f>
        <x:v>0</x:v>
      </x:c>
    </x:row>
    <x:row r="66" ht="28" customHeight="1">
      <x:c r="A66" s="62"/>
      <x:c r="B66" s="63"/>
      <x:c r="C66" s="65"/>
      <x:c r="D66" s="61"/>
      <x:c r="E66" s="49" t="str">
        <x:f>IF(A66="","",IF(D66="完了","完了",IF(AND(ISNUMBER(B66),B66&gt;=DATE(2000,1,1),B66&lt;=DATE(2100,12,31),ISNUMBER(C66),C66&gt;0,C66&lt;=100000,C66=INT(C66),OR(D66="未着手",D66="進行中")),IF(INT(B66)&lt;'今日の3件'!$C$5,"期限超過",IF(INT(B66)='今日の3件'!$C$5,"今日締切",IF(INT(B66)&lt;='今日の3件'!$C$5+3,"3日以内","これから"))),"入力確認")))</x:f>
      </x:c>
      <x:c r="F66" s="61"/>
      <x:c r="G66" s="66" t="n">
        <x:f>IF(OR(A66="",D66="完了",E66="入力確認"),999999999,INT(B66)*1000+ROW())</x:f>
        <x:v>999999999</x:v>
      </x:c>
      <x:c r="H66" s="66" t="n">
        <x:f>IF(G66=999999999,0,1)</x:f>
        <x:v>0</x:v>
      </x:c>
      <x:c r="I66" s="67" t="n">
        <x:f>IF(H66=0,0,IF(B66&lt;='今日の3件'!$C$5+7-WEEKDAY('今日の3件'!$C$5,2),C66,0))</x:f>
        <x:v>0</x:v>
      </x:c>
      <x:c r="J66" s="67" t="n">
        <x:f>IF(E66="入力確認",1,0)</x:f>
        <x:v>0</x:v>
      </x:c>
      <x:c r="K66" s="67" t="n">
        <x:f>IF(AND(A66&lt;&gt;"",D66="完了"),1,0)</x:f>
        <x:v>0</x:v>
      </x:c>
      <x:c r="L66" s="67" t="n">
        <x:f>IF(A66="",0,1)</x:f>
        <x:v>0</x:v>
      </x:c>
      <x:c r="M66" s="67" t="n">
        <x:f>IF(E66="期限超過",1,0)</x:f>
        <x:v>0</x:v>
      </x:c>
    </x:row>
    <x:row r="67" ht="28" customHeight="1">
      <x:c r="A67" s="62"/>
      <x:c r="B67" s="63"/>
      <x:c r="C67" s="65"/>
      <x:c r="D67" s="61"/>
      <x:c r="E67" s="49" t="str">
        <x:f>IF(A67="","",IF(D67="完了","完了",IF(AND(ISNUMBER(B67),B67&gt;=DATE(2000,1,1),B67&lt;=DATE(2100,12,31),ISNUMBER(C67),C67&gt;0,C67&lt;=100000,C67=INT(C67),OR(D67="未着手",D67="進行中")),IF(INT(B67)&lt;'今日の3件'!$C$5,"期限超過",IF(INT(B67)='今日の3件'!$C$5,"今日締切",IF(INT(B67)&lt;='今日の3件'!$C$5+3,"3日以内","これから"))),"入力確認")))</x:f>
      </x:c>
      <x:c r="F67" s="61"/>
      <x:c r="G67" s="66" t="n">
        <x:f>IF(OR(A67="",D67="完了",E67="入力確認"),999999999,INT(B67)*1000+ROW())</x:f>
        <x:v>999999999</x:v>
      </x:c>
      <x:c r="H67" s="66" t="n">
        <x:f>IF(G67=999999999,0,1)</x:f>
        <x:v>0</x:v>
      </x:c>
      <x:c r="I67" s="67" t="n">
        <x:f>IF(H67=0,0,IF(B67&lt;='今日の3件'!$C$5+7-WEEKDAY('今日の3件'!$C$5,2),C67,0))</x:f>
        <x:v>0</x:v>
      </x:c>
      <x:c r="J67" s="67" t="n">
        <x:f>IF(E67="入力確認",1,0)</x:f>
        <x:v>0</x:v>
      </x:c>
      <x:c r="K67" s="67" t="n">
        <x:f>IF(AND(A67&lt;&gt;"",D67="完了"),1,0)</x:f>
        <x:v>0</x:v>
      </x:c>
      <x:c r="L67" s="67" t="n">
        <x:f>IF(A67="",0,1)</x:f>
        <x:v>0</x:v>
      </x:c>
      <x:c r="M67" s="67" t="n">
        <x:f>IF(E67="期限超過",1,0)</x:f>
        <x:v>0</x:v>
      </x:c>
    </x:row>
    <x:row r="68" ht="28" customHeight="1">
      <x:c r="A68" s="62"/>
      <x:c r="B68" s="63"/>
      <x:c r="C68" s="65"/>
      <x:c r="D68" s="61"/>
      <x:c r="E68" s="49" t="str">
        <x:f>IF(A68="","",IF(D68="完了","完了",IF(AND(ISNUMBER(B68),B68&gt;=DATE(2000,1,1),B68&lt;=DATE(2100,12,31),ISNUMBER(C68),C68&gt;0,C68&lt;=100000,C68=INT(C68),OR(D68="未着手",D68="進行中")),IF(INT(B68)&lt;'今日の3件'!$C$5,"期限超過",IF(INT(B68)='今日の3件'!$C$5,"今日締切",IF(INT(B68)&lt;='今日の3件'!$C$5+3,"3日以内","これから"))),"入力確認")))</x:f>
      </x:c>
      <x:c r="F68" s="61"/>
      <x:c r="G68" s="66" t="n">
        <x:f>IF(OR(A68="",D68="完了",E68="入力確認"),999999999,INT(B68)*1000+ROW())</x:f>
        <x:v>999999999</x:v>
      </x:c>
      <x:c r="H68" s="66" t="n">
        <x:f>IF(G68=999999999,0,1)</x:f>
        <x:v>0</x:v>
      </x:c>
      <x:c r="I68" s="67" t="n">
        <x:f>IF(H68=0,0,IF(B68&lt;='今日の3件'!$C$5+7-WEEKDAY('今日の3件'!$C$5,2),C68,0))</x:f>
        <x:v>0</x:v>
      </x:c>
      <x:c r="J68" s="67" t="n">
        <x:f>IF(E68="入力確認",1,0)</x:f>
        <x:v>0</x:v>
      </x:c>
      <x:c r="K68" s="67" t="n">
        <x:f>IF(AND(A68&lt;&gt;"",D68="完了"),1,0)</x:f>
        <x:v>0</x:v>
      </x:c>
      <x:c r="L68" s="67" t="n">
        <x:f>IF(A68="",0,1)</x:f>
        <x:v>0</x:v>
      </x:c>
      <x:c r="M68" s="67" t="n">
        <x:f>IF(E68="期限超過",1,0)</x:f>
        <x:v>0</x:v>
      </x:c>
    </x:row>
    <x:row r="69" ht="28" customHeight="1">
      <x:c r="A69" s="62"/>
      <x:c r="B69" s="63"/>
      <x:c r="C69" s="65"/>
      <x:c r="D69" s="61"/>
      <x:c r="E69" s="49" t="str">
        <x:f>IF(A69="","",IF(D69="完了","完了",IF(AND(ISNUMBER(B69),B69&gt;=DATE(2000,1,1),B69&lt;=DATE(2100,12,31),ISNUMBER(C69),C69&gt;0,C69&lt;=100000,C69=INT(C69),OR(D69="未着手",D69="進行中")),IF(INT(B69)&lt;'今日の3件'!$C$5,"期限超過",IF(INT(B69)='今日の3件'!$C$5,"今日締切",IF(INT(B69)&lt;='今日の3件'!$C$5+3,"3日以内","これから"))),"入力確認")))</x:f>
      </x:c>
      <x:c r="F69" s="61"/>
      <x:c r="G69" s="66" t="n">
        <x:f>IF(OR(A69="",D69="完了",E69="入力確認"),999999999,INT(B69)*1000+ROW())</x:f>
        <x:v>999999999</x:v>
      </x:c>
      <x:c r="H69" s="66" t="n">
        <x:f>IF(G69=999999999,0,1)</x:f>
        <x:v>0</x:v>
      </x:c>
      <x:c r="I69" s="67" t="n">
        <x:f>IF(H69=0,0,IF(B69&lt;='今日の3件'!$C$5+7-WEEKDAY('今日の3件'!$C$5,2),C69,0))</x:f>
        <x:v>0</x:v>
      </x:c>
      <x:c r="J69" s="67" t="n">
        <x:f>IF(E69="入力確認",1,0)</x:f>
        <x:v>0</x:v>
      </x:c>
      <x:c r="K69" s="67" t="n">
        <x:f>IF(AND(A69&lt;&gt;"",D69="完了"),1,0)</x:f>
        <x:v>0</x:v>
      </x:c>
      <x:c r="L69" s="67" t="n">
        <x:f>IF(A69="",0,1)</x:f>
        <x:v>0</x:v>
      </x:c>
      <x:c r="M69" s="67" t="n">
        <x:f>IF(E69="期限超過",1,0)</x:f>
        <x:v>0</x:v>
      </x:c>
    </x:row>
    <x:row r="70" ht="28" customHeight="1">
      <x:c r="A70" s="62"/>
      <x:c r="B70" s="63"/>
      <x:c r="C70" s="65"/>
      <x:c r="D70" s="61"/>
      <x:c r="E70" s="49" t="str">
        <x:f>IF(A70="","",IF(D70="完了","完了",IF(AND(ISNUMBER(B70),B70&gt;=DATE(2000,1,1),B70&lt;=DATE(2100,12,31),ISNUMBER(C70),C70&gt;0,C70&lt;=100000,C70=INT(C70),OR(D70="未着手",D70="進行中")),IF(INT(B70)&lt;'今日の3件'!$C$5,"期限超過",IF(INT(B70)='今日の3件'!$C$5,"今日締切",IF(INT(B70)&lt;='今日の3件'!$C$5+3,"3日以内","これから"))),"入力確認")))</x:f>
      </x:c>
      <x:c r="F70" s="61"/>
      <x:c r="G70" s="66" t="n">
        <x:f>IF(OR(A70="",D70="完了",E70="入力確認"),999999999,INT(B70)*1000+ROW())</x:f>
        <x:v>999999999</x:v>
      </x:c>
      <x:c r="H70" s="66" t="n">
        <x:f>IF(G70=999999999,0,1)</x:f>
        <x:v>0</x:v>
      </x:c>
      <x:c r="I70" s="67" t="n">
        <x:f>IF(H70=0,0,IF(B70&lt;='今日の3件'!$C$5+7-WEEKDAY('今日の3件'!$C$5,2),C70,0))</x:f>
        <x:v>0</x:v>
      </x:c>
      <x:c r="J70" s="67" t="n">
        <x:f>IF(E70="入力確認",1,0)</x:f>
        <x:v>0</x:v>
      </x:c>
      <x:c r="K70" s="67" t="n">
        <x:f>IF(AND(A70&lt;&gt;"",D70="完了"),1,0)</x:f>
        <x:v>0</x:v>
      </x:c>
      <x:c r="L70" s="67" t="n">
        <x:f>IF(A70="",0,1)</x:f>
        <x:v>0</x:v>
      </x:c>
      <x:c r="M70" s="67" t="n">
        <x:f>IF(E70="期限超過",1,0)</x:f>
        <x:v>0</x:v>
      </x:c>
    </x:row>
    <x:row r="71" ht="28" customHeight="1">
      <x:c r="A71" s="62"/>
      <x:c r="B71" s="63"/>
      <x:c r="C71" s="65"/>
      <x:c r="D71" s="61"/>
      <x:c r="E71" s="49" t="str">
        <x:f>IF(A71="","",IF(D71="完了","完了",IF(AND(ISNUMBER(B71),B71&gt;=DATE(2000,1,1),B71&lt;=DATE(2100,12,31),ISNUMBER(C71),C71&gt;0,C71&lt;=100000,C71=INT(C71),OR(D71="未着手",D71="進行中")),IF(INT(B71)&lt;'今日の3件'!$C$5,"期限超過",IF(INT(B71)='今日の3件'!$C$5,"今日締切",IF(INT(B71)&lt;='今日の3件'!$C$5+3,"3日以内","これから"))),"入力確認")))</x:f>
      </x:c>
      <x:c r="F71" s="61"/>
      <x:c r="G71" s="66" t="n">
        <x:f>IF(OR(A71="",D71="完了",E71="入力確認"),999999999,INT(B71)*1000+ROW())</x:f>
        <x:v>999999999</x:v>
      </x:c>
      <x:c r="H71" s="66" t="n">
        <x:f>IF(G71=999999999,0,1)</x:f>
        <x:v>0</x:v>
      </x:c>
      <x:c r="I71" s="67" t="n">
        <x:f>IF(H71=0,0,IF(B71&lt;='今日の3件'!$C$5+7-WEEKDAY('今日の3件'!$C$5,2),C71,0))</x:f>
        <x:v>0</x:v>
      </x:c>
      <x:c r="J71" s="67" t="n">
        <x:f>IF(E71="入力確認",1,0)</x:f>
        <x:v>0</x:v>
      </x:c>
      <x:c r="K71" s="67" t="n">
        <x:f>IF(AND(A71&lt;&gt;"",D71="完了"),1,0)</x:f>
        <x:v>0</x:v>
      </x:c>
      <x:c r="L71" s="67" t="n">
        <x:f>IF(A71="",0,1)</x:f>
        <x:v>0</x:v>
      </x:c>
      <x:c r="M71" s="67" t="n">
        <x:f>IF(E71="期限超過",1,0)</x:f>
        <x:v>0</x:v>
      </x:c>
    </x:row>
    <x:row r="72" ht="28" customHeight="1">
      <x:c r="A72" s="62"/>
      <x:c r="B72" s="63"/>
      <x:c r="C72" s="65"/>
      <x:c r="D72" s="61"/>
      <x:c r="E72" s="49" t="str">
        <x:f>IF(A72="","",IF(D72="完了","完了",IF(AND(ISNUMBER(B72),B72&gt;=DATE(2000,1,1),B72&lt;=DATE(2100,12,31),ISNUMBER(C72),C72&gt;0,C72&lt;=100000,C72=INT(C72),OR(D72="未着手",D72="進行中")),IF(INT(B72)&lt;'今日の3件'!$C$5,"期限超過",IF(INT(B72)='今日の3件'!$C$5,"今日締切",IF(INT(B72)&lt;='今日の3件'!$C$5+3,"3日以内","これから"))),"入力確認")))</x:f>
      </x:c>
      <x:c r="F72" s="61"/>
      <x:c r="G72" s="66" t="n">
        <x:f>IF(OR(A72="",D72="完了",E72="入力確認"),999999999,INT(B72)*1000+ROW())</x:f>
        <x:v>999999999</x:v>
      </x:c>
      <x:c r="H72" s="66" t="n">
        <x:f>IF(G72=999999999,0,1)</x:f>
        <x:v>0</x:v>
      </x:c>
      <x:c r="I72" s="67" t="n">
        <x:f>IF(H72=0,0,IF(B72&lt;='今日の3件'!$C$5+7-WEEKDAY('今日の3件'!$C$5,2),C72,0))</x:f>
        <x:v>0</x:v>
      </x:c>
      <x:c r="J72" s="67" t="n">
        <x:f>IF(E72="入力確認",1,0)</x:f>
        <x:v>0</x:v>
      </x:c>
      <x:c r="K72" s="67" t="n">
        <x:f>IF(AND(A72&lt;&gt;"",D72="完了"),1,0)</x:f>
        <x:v>0</x:v>
      </x:c>
      <x:c r="L72" s="67" t="n">
        <x:f>IF(A72="",0,1)</x:f>
        <x:v>0</x:v>
      </x:c>
      <x:c r="M72" s="67" t="n">
        <x:f>IF(E72="期限超過",1,0)</x:f>
        <x:v>0</x:v>
      </x:c>
    </x:row>
    <x:row r="73" ht="28" customHeight="1">
      <x:c r="A73" s="62"/>
      <x:c r="B73" s="63"/>
      <x:c r="C73" s="65"/>
      <x:c r="D73" s="61"/>
      <x:c r="E73" s="49" t="str">
        <x:f>IF(A73="","",IF(D73="完了","完了",IF(AND(ISNUMBER(B73),B73&gt;=DATE(2000,1,1),B73&lt;=DATE(2100,12,31),ISNUMBER(C73),C73&gt;0,C73&lt;=100000,C73=INT(C73),OR(D73="未着手",D73="進行中")),IF(INT(B73)&lt;'今日の3件'!$C$5,"期限超過",IF(INT(B73)='今日の3件'!$C$5,"今日締切",IF(INT(B73)&lt;='今日の3件'!$C$5+3,"3日以内","これから"))),"入力確認")))</x:f>
      </x:c>
      <x:c r="F73" s="61"/>
      <x:c r="G73" s="66" t="n">
        <x:f>IF(OR(A73="",D73="完了",E73="入力確認"),999999999,INT(B73)*1000+ROW())</x:f>
        <x:v>999999999</x:v>
      </x:c>
      <x:c r="H73" s="66" t="n">
        <x:f>IF(G73=999999999,0,1)</x:f>
        <x:v>0</x:v>
      </x:c>
      <x:c r="I73" s="67" t="n">
        <x:f>IF(H73=0,0,IF(B73&lt;='今日の3件'!$C$5+7-WEEKDAY('今日の3件'!$C$5,2),C73,0))</x:f>
        <x:v>0</x:v>
      </x:c>
      <x:c r="J73" s="67" t="n">
        <x:f>IF(E73="入力確認",1,0)</x:f>
        <x:v>0</x:v>
      </x:c>
      <x:c r="K73" s="67" t="n">
        <x:f>IF(AND(A73&lt;&gt;"",D73="完了"),1,0)</x:f>
        <x:v>0</x:v>
      </x:c>
      <x:c r="L73" s="67" t="n">
        <x:f>IF(A73="",0,1)</x:f>
        <x:v>0</x:v>
      </x:c>
      <x:c r="M73" s="67" t="n">
        <x:f>IF(E73="期限超過",1,0)</x:f>
        <x:v>0</x:v>
      </x:c>
    </x:row>
    <x:row r="74" ht="28" customHeight="1">
      <x:c r="A74" s="62"/>
      <x:c r="B74" s="63"/>
      <x:c r="C74" s="65"/>
      <x:c r="D74" s="61"/>
      <x:c r="E74" s="49" t="str">
        <x:f>IF(A74="","",IF(D74="完了","完了",IF(AND(ISNUMBER(B74),B74&gt;=DATE(2000,1,1),B74&lt;=DATE(2100,12,31),ISNUMBER(C74),C74&gt;0,C74&lt;=100000,C74=INT(C74),OR(D74="未着手",D74="進行中")),IF(INT(B74)&lt;'今日の3件'!$C$5,"期限超過",IF(INT(B74)='今日の3件'!$C$5,"今日締切",IF(INT(B74)&lt;='今日の3件'!$C$5+3,"3日以内","これから"))),"入力確認")))</x:f>
      </x:c>
      <x:c r="F74" s="61"/>
      <x:c r="G74" s="66" t="n">
        <x:f>IF(OR(A74="",D74="完了",E74="入力確認"),999999999,INT(B74)*1000+ROW())</x:f>
        <x:v>999999999</x:v>
      </x:c>
      <x:c r="H74" s="66" t="n">
        <x:f>IF(G74=999999999,0,1)</x:f>
        <x:v>0</x:v>
      </x:c>
      <x:c r="I74" s="67" t="n">
        <x:f>IF(H74=0,0,IF(B74&lt;='今日の3件'!$C$5+7-WEEKDAY('今日の3件'!$C$5,2),C74,0))</x:f>
        <x:v>0</x:v>
      </x:c>
      <x:c r="J74" s="67" t="n">
        <x:f>IF(E74="入力確認",1,0)</x:f>
        <x:v>0</x:v>
      </x:c>
      <x:c r="K74" s="67" t="n">
        <x:f>IF(AND(A74&lt;&gt;"",D74="完了"),1,0)</x:f>
        <x:v>0</x:v>
      </x:c>
      <x:c r="L74" s="67" t="n">
        <x:f>IF(A74="",0,1)</x:f>
        <x:v>0</x:v>
      </x:c>
      <x:c r="M74" s="67" t="n">
        <x:f>IF(E74="期限超過",1,0)</x:f>
        <x:v>0</x:v>
      </x:c>
    </x:row>
    <x:row r="75" ht="28" customHeight="1">
      <x:c r="A75" s="62"/>
      <x:c r="B75" s="63"/>
      <x:c r="C75" s="65"/>
      <x:c r="D75" s="61"/>
      <x:c r="E75" s="49" t="str">
        <x:f>IF(A75="","",IF(D75="完了","完了",IF(AND(ISNUMBER(B75),B75&gt;=DATE(2000,1,1),B75&lt;=DATE(2100,12,31),ISNUMBER(C75),C75&gt;0,C75&lt;=100000,C75=INT(C75),OR(D75="未着手",D75="進行中")),IF(INT(B75)&lt;'今日の3件'!$C$5,"期限超過",IF(INT(B75)='今日の3件'!$C$5,"今日締切",IF(INT(B75)&lt;='今日の3件'!$C$5+3,"3日以内","これから"))),"入力確認")))</x:f>
      </x:c>
      <x:c r="F75" s="61"/>
      <x:c r="G75" s="66" t="n">
        <x:f>IF(OR(A75="",D75="完了",E75="入力確認"),999999999,INT(B75)*1000+ROW())</x:f>
        <x:v>999999999</x:v>
      </x:c>
      <x:c r="H75" s="66" t="n">
        <x:f>IF(G75=999999999,0,1)</x:f>
        <x:v>0</x:v>
      </x:c>
      <x:c r="I75" s="67" t="n">
        <x:f>IF(H75=0,0,IF(B75&lt;='今日の3件'!$C$5+7-WEEKDAY('今日の3件'!$C$5,2),C75,0))</x:f>
        <x:v>0</x:v>
      </x:c>
      <x:c r="J75" s="67" t="n">
        <x:f>IF(E75="入力確認",1,0)</x:f>
        <x:v>0</x:v>
      </x:c>
      <x:c r="K75" s="67" t="n">
        <x:f>IF(AND(A75&lt;&gt;"",D75="完了"),1,0)</x:f>
        <x:v>0</x:v>
      </x:c>
      <x:c r="L75" s="67" t="n">
        <x:f>IF(A75="",0,1)</x:f>
        <x:v>0</x:v>
      </x:c>
      <x:c r="M75" s="67" t="n">
        <x:f>IF(E75="期限超過",1,0)</x:f>
        <x:v>0</x:v>
      </x:c>
    </x:row>
    <x:row r="76" ht="28" customHeight="1">
      <x:c r="A76" s="62"/>
      <x:c r="B76" s="63"/>
      <x:c r="C76" s="65"/>
      <x:c r="D76" s="61"/>
      <x:c r="E76" s="49" t="str">
        <x:f>IF(A76="","",IF(D76="完了","完了",IF(AND(ISNUMBER(B76),B76&gt;=DATE(2000,1,1),B76&lt;=DATE(2100,12,31),ISNUMBER(C76),C76&gt;0,C76&lt;=100000,C76=INT(C76),OR(D76="未着手",D76="進行中")),IF(INT(B76)&lt;'今日の3件'!$C$5,"期限超過",IF(INT(B76)='今日の3件'!$C$5,"今日締切",IF(INT(B76)&lt;='今日の3件'!$C$5+3,"3日以内","これから"))),"入力確認")))</x:f>
      </x:c>
      <x:c r="F76" s="61"/>
      <x:c r="G76" s="66" t="n">
        <x:f>IF(OR(A76="",D76="完了",E76="入力確認"),999999999,INT(B76)*1000+ROW())</x:f>
        <x:v>999999999</x:v>
      </x:c>
      <x:c r="H76" s="66" t="n">
        <x:f>IF(G76=999999999,0,1)</x:f>
        <x:v>0</x:v>
      </x:c>
      <x:c r="I76" s="67" t="n">
        <x:f>IF(H76=0,0,IF(B76&lt;='今日の3件'!$C$5+7-WEEKDAY('今日の3件'!$C$5,2),C76,0))</x:f>
        <x:v>0</x:v>
      </x:c>
      <x:c r="J76" s="67" t="n">
        <x:f>IF(E76="入力確認",1,0)</x:f>
        <x:v>0</x:v>
      </x:c>
      <x:c r="K76" s="67" t="n">
        <x:f>IF(AND(A76&lt;&gt;"",D76="完了"),1,0)</x:f>
        <x:v>0</x:v>
      </x:c>
      <x:c r="L76" s="67" t="n">
        <x:f>IF(A76="",0,1)</x:f>
        <x:v>0</x:v>
      </x:c>
      <x:c r="M76" s="67" t="n">
        <x:f>IF(E76="期限超過",1,0)</x:f>
        <x:v>0</x:v>
      </x:c>
    </x:row>
    <x:row r="77" ht="28" customHeight="1">
      <x:c r="A77" s="62"/>
      <x:c r="B77" s="63"/>
      <x:c r="C77" s="65"/>
      <x:c r="D77" s="61"/>
      <x:c r="E77" s="49" t="str">
        <x:f>IF(A77="","",IF(D77="完了","完了",IF(AND(ISNUMBER(B77),B77&gt;=DATE(2000,1,1),B77&lt;=DATE(2100,12,31),ISNUMBER(C77),C77&gt;0,C77&lt;=100000,C77=INT(C77),OR(D77="未着手",D77="進行中")),IF(INT(B77)&lt;'今日の3件'!$C$5,"期限超過",IF(INT(B77)='今日の3件'!$C$5,"今日締切",IF(INT(B77)&lt;='今日の3件'!$C$5+3,"3日以内","これから"))),"入力確認")))</x:f>
      </x:c>
      <x:c r="F77" s="61"/>
      <x:c r="G77" s="66" t="n">
        <x:f>IF(OR(A77="",D77="完了",E77="入力確認"),999999999,INT(B77)*1000+ROW())</x:f>
        <x:v>999999999</x:v>
      </x:c>
      <x:c r="H77" s="66" t="n">
        <x:f>IF(G77=999999999,0,1)</x:f>
        <x:v>0</x:v>
      </x:c>
      <x:c r="I77" s="67" t="n">
        <x:f>IF(H77=0,0,IF(B77&lt;='今日の3件'!$C$5+7-WEEKDAY('今日の3件'!$C$5,2),C77,0))</x:f>
        <x:v>0</x:v>
      </x:c>
      <x:c r="J77" s="67" t="n">
        <x:f>IF(E77="入力確認",1,0)</x:f>
        <x:v>0</x:v>
      </x:c>
      <x:c r="K77" s="67" t="n">
        <x:f>IF(AND(A77&lt;&gt;"",D77="完了"),1,0)</x:f>
        <x:v>0</x:v>
      </x:c>
      <x:c r="L77" s="67" t="n">
        <x:f>IF(A77="",0,1)</x:f>
        <x:v>0</x:v>
      </x:c>
      <x:c r="M77" s="67" t="n">
        <x:f>IF(E77="期限超過",1,0)</x:f>
        <x:v>0</x:v>
      </x:c>
    </x:row>
    <x:row r="78" ht="28" customHeight="1">
      <x:c r="A78" s="62"/>
      <x:c r="B78" s="63"/>
      <x:c r="C78" s="65"/>
      <x:c r="D78" s="61"/>
      <x:c r="E78" s="49" t="str">
        <x:f>IF(A78="","",IF(D78="完了","完了",IF(AND(ISNUMBER(B78),B78&gt;=DATE(2000,1,1),B78&lt;=DATE(2100,12,31),ISNUMBER(C78),C78&gt;0,C78&lt;=100000,C78=INT(C78),OR(D78="未着手",D78="進行中")),IF(INT(B78)&lt;'今日の3件'!$C$5,"期限超過",IF(INT(B78)='今日の3件'!$C$5,"今日締切",IF(INT(B78)&lt;='今日の3件'!$C$5+3,"3日以内","これから"))),"入力確認")))</x:f>
      </x:c>
      <x:c r="F78" s="61"/>
      <x:c r="G78" s="66" t="n">
        <x:f>IF(OR(A78="",D78="完了",E78="入力確認"),999999999,INT(B78)*1000+ROW())</x:f>
        <x:v>999999999</x:v>
      </x:c>
      <x:c r="H78" s="66" t="n">
        <x:f>IF(G78=999999999,0,1)</x:f>
        <x:v>0</x:v>
      </x:c>
      <x:c r="I78" s="67" t="n">
        <x:f>IF(H78=0,0,IF(B78&lt;='今日の3件'!$C$5+7-WEEKDAY('今日の3件'!$C$5,2),C78,0))</x:f>
        <x:v>0</x:v>
      </x:c>
      <x:c r="J78" s="67" t="n">
        <x:f>IF(E78="入力確認",1,0)</x:f>
        <x:v>0</x:v>
      </x:c>
      <x:c r="K78" s="67" t="n">
        <x:f>IF(AND(A78&lt;&gt;"",D78="完了"),1,0)</x:f>
        <x:v>0</x:v>
      </x:c>
      <x:c r="L78" s="67" t="n">
        <x:f>IF(A78="",0,1)</x:f>
        <x:v>0</x:v>
      </x:c>
      <x:c r="M78" s="67" t="n">
        <x:f>IF(E78="期限超過",1,0)</x:f>
        <x:v>0</x:v>
      </x:c>
    </x:row>
    <x:row r="79" ht="28" customHeight="1">
      <x:c r="A79" s="62"/>
      <x:c r="B79" s="63"/>
      <x:c r="C79" s="65"/>
      <x:c r="D79" s="61"/>
      <x:c r="E79" s="49" t="str">
        <x:f>IF(A79="","",IF(D79="完了","完了",IF(AND(ISNUMBER(B79),B79&gt;=DATE(2000,1,1),B79&lt;=DATE(2100,12,31),ISNUMBER(C79),C79&gt;0,C79&lt;=100000,C79=INT(C79),OR(D79="未着手",D79="進行中")),IF(INT(B79)&lt;'今日の3件'!$C$5,"期限超過",IF(INT(B79)='今日の3件'!$C$5,"今日締切",IF(INT(B79)&lt;='今日の3件'!$C$5+3,"3日以内","これから"))),"入力確認")))</x:f>
      </x:c>
      <x:c r="F79" s="61"/>
      <x:c r="G79" s="66" t="n">
        <x:f>IF(OR(A79="",D79="完了",E79="入力確認"),999999999,INT(B79)*1000+ROW())</x:f>
        <x:v>999999999</x:v>
      </x:c>
      <x:c r="H79" s="66" t="n">
        <x:f>IF(G79=999999999,0,1)</x:f>
        <x:v>0</x:v>
      </x:c>
      <x:c r="I79" s="67" t="n">
        <x:f>IF(H79=0,0,IF(B79&lt;='今日の3件'!$C$5+7-WEEKDAY('今日の3件'!$C$5,2),C79,0))</x:f>
        <x:v>0</x:v>
      </x:c>
      <x:c r="J79" s="67" t="n">
        <x:f>IF(E79="入力確認",1,0)</x:f>
        <x:v>0</x:v>
      </x:c>
      <x:c r="K79" s="67" t="n">
        <x:f>IF(AND(A79&lt;&gt;"",D79="完了"),1,0)</x:f>
        <x:v>0</x:v>
      </x:c>
      <x:c r="L79" s="67" t="n">
        <x:f>IF(A79="",0,1)</x:f>
        <x:v>0</x:v>
      </x:c>
      <x:c r="M79" s="67" t="n">
        <x:f>IF(E79="期限超過",1,0)</x:f>
        <x:v>0</x:v>
      </x:c>
    </x:row>
    <x:row r="80" ht="28" customHeight="1">
      <x:c r="A80" s="62"/>
      <x:c r="B80" s="63"/>
      <x:c r="C80" s="65"/>
      <x:c r="D80" s="61"/>
      <x:c r="E80" s="49" t="str">
        <x:f>IF(A80="","",IF(D80="完了","完了",IF(AND(ISNUMBER(B80),B80&gt;=DATE(2000,1,1),B80&lt;=DATE(2100,12,31),ISNUMBER(C80),C80&gt;0,C80&lt;=100000,C80=INT(C80),OR(D80="未着手",D80="進行中")),IF(INT(B80)&lt;'今日の3件'!$C$5,"期限超過",IF(INT(B80)='今日の3件'!$C$5,"今日締切",IF(INT(B80)&lt;='今日の3件'!$C$5+3,"3日以内","これから"))),"入力確認")))</x:f>
      </x:c>
      <x:c r="F80" s="61"/>
      <x:c r="G80" s="66" t="n">
        <x:f>IF(OR(A80="",D80="完了",E80="入力確認"),999999999,INT(B80)*1000+ROW())</x:f>
        <x:v>999999999</x:v>
      </x:c>
      <x:c r="H80" s="66" t="n">
        <x:f>IF(G80=999999999,0,1)</x:f>
        <x:v>0</x:v>
      </x:c>
      <x:c r="I80" s="67" t="n">
        <x:f>IF(H80=0,0,IF(B80&lt;='今日の3件'!$C$5+7-WEEKDAY('今日の3件'!$C$5,2),C80,0))</x:f>
        <x:v>0</x:v>
      </x:c>
      <x:c r="J80" s="67" t="n">
        <x:f>IF(E80="入力確認",1,0)</x:f>
        <x:v>0</x:v>
      </x:c>
      <x:c r="K80" s="67" t="n">
        <x:f>IF(AND(A80&lt;&gt;"",D80="完了"),1,0)</x:f>
        <x:v>0</x:v>
      </x:c>
      <x:c r="L80" s="67" t="n">
        <x:f>IF(A80="",0,1)</x:f>
        <x:v>0</x:v>
      </x:c>
      <x:c r="M80" s="67" t="n">
        <x:f>IF(E80="期限超過",1,0)</x:f>
        <x:v>0</x:v>
      </x:c>
    </x:row>
    <x:row r="81" ht="28" customHeight="1">
      <x:c r="A81" s="62"/>
      <x:c r="B81" s="63"/>
      <x:c r="C81" s="65"/>
      <x:c r="D81" s="61"/>
      <x:c r="E81" s="49" t="str">
        <x:f>IF(A81="","",IF(D81="完了","完了",IF(AND(ISNUMBER(B81),B81&gt;=DATE(2000,1,1),B81&lt;=DATE(2100,12,31),ISNUMBER(C81),C81&gt;0,C81&lt;=100000,C81=INT(C81),OR(D81="未着手",D81="進行中")),IF(INT(B81)&lt;'今日の3件'!$C$5,"期限超過",IF(INT(B81)='今日の3件'!$C$5,"今日締切",IF(INT(B81)&lt;='今日の3件'!$C$5+3,"3日以内","これから"))),"入力確認")))</x:f>
      </x:c>
      <x:c r="F81" s="61"/>
      <x:c r="G81" s="66" t="n">
        <x:f>IF(OR(A81="",D81="完了",E81="入力確認"),999999999,INT(B81)*1000+ROW())</x:f>
        <x:v>999999999</x:v>
      </x:c>
      <x:c r="H81" s="66" t="n">
        <x:f>IF(G81=999999999,0,1)</x:f>
        <x:v>0</x:v>
      </x:c>
      <x:c r="I81" s="67" t="n">
        <x:f>IF(H81=0,0,IF(B81&lt;='今日の3件'!$C$5+7-WEEKDAY('今日の3件'!$C$5,2),C81,0))</x:f>
        <x:v>0</x:v>
      </x:c>
      <x:c r="J81" s="67" t="n">
        <x:f>IF(E81="入力確認",1,0)</x:f>
        <x:v>0</x:v>
      </x:c>
      <x:c r="K81" s="67" t="n">
        <x:f>IF(AND(A81&lt;&gt;"",D81="完了"),1,0)</x:f>
        <x:v>0</x:v>
      </x:c>
      <x:c r="L81" s="67" t="n">
        <x:f>IF(A81="",0,1)</x:f>
        <x:v>0</x:v>
      </x:c>
      <x:c r="M81" s="67" t="n">
        <x:f>IF(E81="期限超過",1,0)</x:f>
        <x:v>0</x:v>
      </x:c>
    </x:row>
    <x:row r="82" ht="28" customHeight="1">
      <x:c r="A82" s="62"/>
      <x:c r="B82" s="63"/>
      <x:c r="C82" s="65"/>
      <x:c r="D82" s="61"/>
      <x:c r="E82" s="49" t="str">
        <x:f>IF(A82="","",IF(D82="完了","完了",IF(AND(ISNUMBER(B82),B82&gt;=DATE(2000,1,1),B82&lt;=DATE(2100,12,31),ISNUMBER(C82),C82&gt;0,C82&lt;=100000,C82=INT(C82),OR(D82="未着手",D82="進行中")),IF(INT(B82)&lt;'今日の3件'!$C$5,"期限超過",IF(INT(B82)='今日の3件'!$C$5,"今日締切",IF(INT(B82)&lt;='今日の3件'!$C$5+3,"3日以内","これから"))),"入力確認")))</x:f>
      </x:c>
      <x:c r="F82" s="61"/>
      <x:c r="G82" s="66" t="n">
        <x:f>IF(OR(A82="",D82="完了",E82="入力確認"),999999999,INT(B82)*1000+ROW())</x:f>
        <x:v>999999999</x:v>
      </x:c>
      <x:c r="H82" s="66" t="n">
        <x:f>IF(G82=999999999,0,1)</x:f>
        <x:v>0</x:v>
      </x:c>
      <x:c r="I82" s="67" t="n">
        <x:f>IF(H82=0,0,IF(B82&lt;='今日の3件'!$C$5+7-WEEKDAY('今日の3件'!$C$5,2),C82,0))</x:f>
        <x:v>0</x:v>
      </x:c>
      <x:c r="J82" s="67" t="n">
        <x:f>IF(E82="入力確認",1,0)</x:f>
        <x:v>0</x:v>
      </x:c>
      <x:c r="K82" s="67" t="n">
        <x:f>IF(AND(A82&lt;&gt;"",D82="完了"),1,0)</x:f>
        <x:v>0</x:v>
      </x:c>
      <x:c r="L82" s="67" t="n">
        <x:f>IF(A82="",0,1)</x:f>
        <x:v>0</x:v>
      </x:c>
      <x:c r="M82" s="67" t="n">
        <x:f>IF(E82="期限超過",1,0)</x:f>
        <x:v>0</x:v>
      </x:c>
    </x:row>
    <x:row r="83" ht="28" customHeight="1">
      <x:c r="A83" s="62"/>
      <x:c r="B83" s="63"/>
      <x:c r="C83" s="65"/>
      <x:c r="D83" s="61"/>
      <x:c r="E83" s="49" t="str">
        <x:f>IF(A83="","",IF(D83="完了","完了",IF(AND(ISNUMBER(B83),B83&gt;=DATE(2000,1,1),B83&lt;=DATE(2100,12,31),ISNUMBER(C83),C83&gt;0,C83&lt;=100000,C83=INT(C83),OR(D83="未着手",D83="進行中")),IF(INT(B83)&lt;'今日の3件'!$C$5,"期限超過",IF(INT(B83)='今日の3件'!$C$5,"今日締切",IF(INT(B83)&lt;='今日の3件'!$C$5+3,"3日以内","これから"))),"入力確認")))</x:f>
      </x:c>
      <x:c r="F83" s="61"/>
      <x:c r="G83" s="66" t="n">
        <x:f>IF(OR(A83="",D83="完了",E83="入力確認"),999999999,INT(B83)*1000+ROW())</x:f>
        <x:v>999999999</x:v>
      </x:c>
      <x:c r="H83" s="66" t="n">
        <x:f>IF(G83=999999999,0,1)</x:f>
        <x:v>0</x:v>
      </x:c>
      <x:c r="I83" s="67" t="n">
        <x:f>IF(H83=0,0,IF(B83&lt;='今日の3件'!$C$5+7-WEEKDAY('今日の3件'!$C$5,2),C83,0))</x:f>
        <x:v>0</x:v>
      </x:c>
      <x:c r="J83" s="67" t="n">
        <x:f>IF(E83="入力確認",1,0)</x:f>
        <x:v>0</x:v>
      </x:c>
      <x:c r="K83" s="67" t="n">
        <x:f>IF(AND(A83&lt;&gt;"",D83="完了"),1,0)</x:f>
        <x:v>0</x:v>
      </x:c>
      <x:c r="L83" s="67" t="n">
        <x:f>IF(A83="",0,1)</x:f>
        <x:v>0</x:v>
      </x:c>
      <x:c r="M83" s="67" t="n">
        <x:f>IF(E83="期限超過",1,0)</x:f>
        <x:v>0</x:v>
      </x:c>
    </x:row>
    <x:row r="84" ht="28" customHeight="1">
      <x:c r="A84" s="62"/>
      <x:c r="B84" s="63"/>
      <x:c r="C84" s="65"/>
      <x:c r="D84" s="61"/>
      <x:c r="E84" s="49" t="str">
        <x:f>IF(A84="","",IF(D84="完了","完了",IF(AND(ISNUMBER(B84),B84&gt;=DATE(2000,1,1),B84&lt;=DATE(2100,12,31),ISNUMBER(C84),C84&gt;0,C84&lt;=100000,C84=INT(C84),OR(D84="未着手",D84="進行中")),IF(INT(B84)&lt;'今日の3件'!$C$5,"期限超過",IF(INT(B84)='今日の3件'!$C$5,"今日締切",IF(INT(B84)&lt;='今日の3件'!$C$5+3,"3日以内","これから"))),"入力確認")))</x:f>
      </x:c>
      <x:c r="F84" s="61"/>
      <x:c r="G84" s="66" t="n">
        <x:f>IF(OR(A84="",D84="完了",E84="入力確認"),999999999,INT(B84)*1000+ROW())</x:f>
        <x:v>999999999</x:v>
      </x:c>
      <x:c r="H84" s="66" t="n">
        <x:f>IF(G84=999999999,0,1)</x:f>
        <x:v>0</x:v>
      </x:c>
      <x:c r="I84" s="67" t="n">
        <x:f>IF(H84=0,0,IF(B84&lt;='今日の3件'!$C$5+7-WEEKDAY('今日の3件'!$C$5,2),C84,0))</x:f>
        <x:v>0</x:v>
      </x:c>
      <x:c r="J84" s="67" t="n">
        <x:f>IF(E84="入力確認",1,0)</x:f>
        <x:v>0</x:v>
      </x:c>
      <x:c r="K84" s="67" t="n">
        <x:f>IF(AND(A84&lt;&gt;"",D84="完了"),1,0)</x:f>
        <x:v>0</x:v>
      </x:c>
      <x:c r="L84" s="67" t="n">
        <x:f>IF(A84="",0,1)</x:f>
        <x:v>0</x:v>
      </x:c>
      <x:c r="M84" s="67" t="n">
        <x:f>IF(E84="期限超過",1,0)</x:f>
        <x:v>0</x:v>
      </x:c>
    </x:row>
    <x:row r="85" ht="28" customHeight="1">
      <x:c r="A85" s="62"/>
      <x:c r="B85" s="63"/>
      <x:c r="C85" s="65"/>
      <x:c r="D85" s="61"/>
      <x:c r="E85" s="49" t="str">
        <x:f>IF(A85="","",IF(D85="完了","完了",IF(AND(ISNUMBER(B85),B85&gt;=DATE(2000,1,1),B85&lt;=DATE(2100,12,31),ISNUMBER(C85),C85&gt;0,C85&lt;=100000,C85=INT(C85),OR(D85="未着手",D85="進行中")),IF(INT(B85)&lt;'今日の3件'!$C$5,"期限超過",IF(INT(B85)='今日の3件'!$C$5,"今日締切",IF(INT(B85)&lt;='今日の3件'!$C$5+3,"3日以内","これから"))),"入力確認")))</x:f>
      </x:c>
      <x:c r="F85" s="61"/>
      <x:c r="G85" s="66" t="n">
        <x:f>IF(OR(A85="",D85="完了",E85="入力確認"),999999999,INT(B85)*1000+ROW())</x:f>
        <x:v>999999999</x:v>
      </x:c>
      <x:c r="H85" s="66" t="n">
        <x:f>IF(G85=999999999,0,1)</x:f>
        <x:v>0</x:v>
      </x:c>
      <x:c r="I85" s="67" t="n">
        <x:f>IF(H85=0,0,IF(B85&lt;='今日の3件'!$C$5+7-WEEKDAY('今日の3件'!$C$5,2),C85,0))</x:f>
        <x:v>0</x:v>
      </x:c>
      <x:c r="J85" s="67" t="n">
        <x:f>IF(E85="入力確認",1,0)</x:f>
        <x:v>0</x:v>
      </x:c>
      <x:c r="K85" s="67" t="n">
        <x:f>IF(AND(A85&lt;&gt;"",D85="完了"),1,0)</x:f>
        <x:v>0</x:v>
      </x:c>
      <x:c r="L85" s="67" t="n">
        <x:f>IF(A85="",0,1)</x:f>
        <x:v>0</x:v>
      </x:c>
      <x:c r="M85" s="67" t="n">
        <x:f>IF(E85="期限超過",1,0)</x:f>
        <x:v>0</x:v>
      </x:c>
    </x:row>
    <x:row r="86" ht="28" customHeight="1">
      <x:c r="A86" s="62"/>
      <x:c r="B86" s="63"/>
      <x:c r="C86" s="65"/>
      <x:c r="D86" s="61"/>
      <x:c r="E86" s="49" t="str">
        <x:f>IF(A86="","",IF(D86="完了","完了",IF(AND(ISNUMBER(B86),B86&gt;=DATE(2000,1,1),B86&lt;=DATE(2100,12,31),ISNUMBER(C86),C86&gt;0,C86&lt;=100000,C86=INT(C86),OR(D86="未着手",D86="進行中")),IF(INT(B86)&lt;'今日の3件'!$C$5,"期限超過",IF(INT(B86)='今日の3件'!$C$5,"今日締切",IF(INT(B86)&lt;='今日の3件'!$C$5+3,"3日以内","これから"))),"入力確認")))</x:f>
      </x:c>
      <x:c r="F86" s="61"/>
      <x:c r="G86" s="66" t="n">
        <x:f>IF(OR(A86="",D86="完了",E86="入力確認"),999999999,INT(B86)*1000+ROW())</x:f>
        <x:v>999999999</x:v>
      </x:c>
      <x:c r="H86" s="66" t="n">
        <x:f>IF(G86=999999999,0,1)</x:f>
        <x:v>0</x:v>
      </x:c>
      <x:c r="I86" s="67" t="n">
        <x:f>IF(H86=0,0,IF(B86&lt;='今日の3件'!$C$5+7-WEEKDAY('今日の3件'!$C$5,2),C86,0))</x:f>
        <x:v>0</x:v>
      </x:c>
      <x:c r="J86" s="67" t="n">
        <x:f>IF(E86="入力確認",1,0)</x:f>
        <x:v>0</x:v>
      </x:c>
      <x:c r="K86" s="67" t="n">
        <x:f>IF(AND(A86&lt;&gt;"",D86="完了"),1,0)</x:f>
        <x:v>0</x:v>
      </x:c>
      <x:c r="L86" s="67" t="n">
        <x:f>IF(A86="",0,1)</x:f>
        <x:v>0</x:v>
      </x:c>
      <x:c r="M86" s="67" t="n">
        <x:f>IF(E86="期限超過",1,0)</x:f>
        <x:v>0</x:v>
      </x:c>
    </x:row>
    <x:row r="87" ht="28" customHeight="1">
      <x:c r="A87" s="62"/>
      <x:c r="B87" s="63"/>
      <x:c r="C87" s="65"/>
      <x:c r="D87" s="61"/>
      <x:c r="E87" s="49" t="str">
        <x:f>IF(A87="","",IF(D87="完了","完了",IF(AND(ISNUMBER(B87),B87&gt;=DATE(2000,1,1),B87&lt;=DATE(2100,12,31),ISNUMBER(C87),C87&gt;0,C87&lt;=100000,C87=INT(C87),OR(D87="未着手",D87="進行中")),IF(INT(B87)&lt;'今日の3件'!$C$5,"期限超過",IF(INT(B87)='今日の3件'!$C$5,"今日締切",IF(INT(B87)&lt;='今日の3件'!$C$5+3,"3日以内","これから"))),"入力確認")))</x:f>
      </x:c>
      <x:c r="F87" s="61"/>
      <x:c r="G87" s="66" t="n">
        <x:f>IF(OR(A87="",D87="完了",E87="入力確認"),999999999,INT(B87)*1000+ROW())</x:f>
        <x:v>999999999</x:v>
      </x:c>
      <x:c r="H87" s="66" t="n">
        <x:f>IF(G87=999999999,0,1)</x:f>
        <x:v>0</x:v>
      </x:c>
      <x:c r="I87" s="67" t="n">
        <x:f>IF(H87=0,0,IF(B87&lt;='今日の3件'!$C$5+7-WEEKDAY('今日の3件'!$C$5,2),C87,0))</x:f>
        <x:v>0</x:v>
      </x:c>
      <x:c r="J87" s="67" t="n">
        <x:f>IF(E87="入力確認",1,0)</x:f>
        <x:v>0</x:v>
      </x:c>
      <x:c r="K87" s="67" t="n">
        <x:f>IF(AND(A87&lt;&gt;"",D87="完了"),1,0)</x:f>
        <x:v>0</x:v>
      </x:c>
      <x:c r="L87" s="67" t="n">
        <x:f>IF(A87="",0,1)</x:f>
        <x:v>0</x:v>
      </x:c>
      <x:c r="M87" s="67" t="n">
        <x:f>IF(E87="期限超過",1,0)</x:f>
        <x:v>0</x:v>
      </x:c>
    </x:row>
    <x:row r="88" ht="28" customHeight="1">
      <x:c r="A88" s="62"/>
      <x:c r="B88" s="63"/>
      <x:c r="C88" s="65"/>
      <x:c r="D88" s="61"/>
      <x:c r="E88" s="49" t="str">
        <x:f>IF(A88="","",IF(D88="完了","完了",IF(AND(ISNUMBER(B88),B88&gt;=DATE(2000,1,1),B88&lt;=DATE(2100,12,31),ISNUMBER(C88),C88&gt;0,C88&lt;=100000,C88=INT(C88),OR(D88="未着手",D88="進行中")),IF(INT(B88)&lt;'今日の3件'!$C$5,"期限超過",IF(INT(B88)='今日の3件'!$C$5,"今日締切",IF(INT(B88)&lt;='今日の3件'!$C$5+3,"3日以内","これから"))),"入力確認")))</x:f>
      </x:c>
      <x:c r="F88" s="61"/>
      <x:c r="G88" s="66" t="n">
        <x:f>IF(OR(A88="",D88="完了",E88="入力確認"),999999999,INT(B88)*1000+ROW())</x:f>
        <x:v>999999999</x:v>
      </x:c>
      <x:c r="H88" s="66" t="n">
        <x:f>IF(G88=999999999,0,1)</x:f>
        <x:v>0</x:v>
      </x:c>
      <x:c r="I88" s="67" t="n">
        <x:f>IF(H88=0,0,IF(B88&lt;='今日の3件'!$C$5+7-WEEKDAY('今日の3件'!$C$5,2),C88,0))</x:f>
        <x:v>0</x:v>
      </x:c>
      <x:c r="J88" s="67" t="n">
        <x:f>IF(E88="入力確認",1,0)</x:f>
        <x:v>0</x:v>
      </x:c>
      <x:c r="K88" s="67" t="n">
        <x:f>IF(AND(A88&lt;&gt;"",D88="完了"),1,0)</x:f>
        <x:v>0</x:v>
      </x:c>
      <x:c r="L88" s="67" t="n">
        <x:f>IF(A88="",0,1)</x:f>
        <x:v>0</x:v>
      </x:c>
      <x:c r="M88" s="67" t="n">
        <x:f>IF(E88="期限超過",1,0)</x:f>
        <x:v>0</x:v>
      </x:c>
    </x:row>
    <x:row r="89" ht="28" customHeight="1">
      <x:c r="A89" s="62"/>
      <x:c r="B89" s="63"/>
      <x:c r="C89" s="65"/>
      <x:c r="D89" s="61"/>
      <x:c r="E89" s="49" t="str">
        <x:f>IF(A89="","",IF(D89="完了","完了",IF(AND(ISNUMBER(B89),B89&gt;=DATE(2000,1,1),B89&lt;=DATE(2100,12,31),ISNUMBER(C89),C89&gt;0,C89&lt;=100000,C89=INT(C89),OR(D89="未着手",D89="進行中")),IF(INT(B89)&lt;'今日の3件'!$C$5,"期限超過",IF(INT(B89)='今日の3件'!$C$5,"今日締切",IF(INT(B89)&lt;='今日の3件'!$C$5+3,"3日以内","これから"))),"入力確認")))</x:f>
      </x:c>
      <x:c r="F89" s="61"/>
      <x:c r="G89" s="66" t="n">
        <x:f>IF(OR(A89="",D89="完了",E89="入力確認"),999999999,INT(B89)*1000+ROW())</x:f>
        <x:v>999999999</x:v>
      </x:c>
      <x:c r="H89" s="66" t="n">
        <x:f>IF(G89=999999999,0,1)</x:f>
        <x:v>0</x:v>
      </x:c>
      <x:c r="I89" s="67" t="n">
        <x:f>IF(H89=0,0,IF(B89&lt;='今日の3件'!$C$5+7-WEEKDAY('今日の3件'!$C$5,2),C89,0))</x:f>
        <x:v>0</x:v>
      </x:c>
      <x:c r="J89" s="67" t="n">
        <x:f>IF(E89="入力確認",1,0)</x:f>
        <x:v>0</x:v>
      </x:c>
      <x:c r="K89" s="67" t="n">
        <x:f>IF(AND(A89&lt;&gt;"",D89="完了"),1,0)</x:f>
        <x:v>0</x:v>
      </x:c>
      <x:c r="L89" s="67" t="n">
        <x:f>IF(A89="",0,1)</x:f>
        <x:v>0</x:v>
      </x:c>
      <x:c r="M89" s="67" t="n">
        <x:f>IF(E89="期限超過",1,0)</x:f>
        <x:v>0</x:v>
      </x:c>
    </x:row>
    <x:row r="90" ht="28" customHeight="1">
      <x:c r="A90" s="62"/>
      <x:c r="B90" s="63"/>
      <x:c r="C90" s="65"/>
      <x:c r="D90" s="61"/>
      <x:c r="E90" s="49" t="str">
        <x:f>IF(A90="","",IF(D90="完了","完了",IF(AND(ISNUMBER(B90),B90&gt;=DATE(2000,1,1),B90&lt;=DATE(2100,12,31),ISNUMBER(C90),C90&gt;0,C90&lt;=100000,C90=INT(C90),OR(D90="未着手",D90="進行中")),IF(INT(B90)&lt;'今日の3件'!$C$5,"期限超過",IF(INT(B90)='今日の3件'!$C$5,"今日締切",IF(INT(B90)&lt;='今日の3件'!$C$5+3,"3日以内","これから"))),"入力確認")))</x:f>
      </x:c>
      <x:c r="F90" s="61"/>
      <x:c r="G90" s="66" t="n">
        <x:f>IF(OR(A90="",D90="完了",E90="入力確認"),999999999,INT(B90)*1000+ROW())</x:f>
        <x:v>999999999</x:v>
      </x:c>
      <x:c r="H90" s="66" t="n">
        <x:f>IF(G90=999999999,0,1)</x:f>
        <x:v>0</x:v>
      </x:c>
      <x:c r="I90" s="67" t="n">
        <x:f>IF(H90=0,0,IF(B90&lt;='今日の3件'!$C$5+7-WEEKDAY('今日の3件'!$C$5,2),C90,0))</x:f>
        <x:v>0</x:v>
      </x:c>
      <x:c r="J90" s="67" t="n">
        <x:f>IF(E90="入力確認",1,0)</x:f>
        <x:v>0</x:v>
      </x:c>
      <x:c r="K90" s="67" t="n">
        <x:f>IF(AND(A90&lt;&gt;"",D90="完了"),1,0)</x:f>
        <x:v>0</x:v>
      </x:c>
      <x:c r="L90" s="67" t="n">
        <x:f>IF(A90="",0,1)</x:f>
        <x:v>0</x:v>
      </x:c>
      <x:c r="M90" s="67" t="n">
        <x:f>IF(E90="期限超過",1,0)</x:f>
        <x:v>0</x:v>
      </x:c>
    </x:row>
    <x:row r="91" ht="28" customHeight="1">
      <x:c r="A91" s="62"/>
      <x:c r="B91" s="63"/>
      <x:c r="C91" s="65"/>
      <x:c r="D91" s="61"/>
      <x:c r="E91" s="49" t="str">
        <x:f>IF(A91="","",IF(D91="完了","完了",IF(AND(ISNUMBER(B91),B91&gt;=DATE(2000,1,1),B91&lt;=DATE(2100,12,31),ISNUMBER(C91),C91&gt;0,C91&lt;=100000,C91=INT(C91),OR(D91="未着手",D91="進行中")),IF(INT(B91)&lt;'今日の3件'!$C$5,"期限超過",IF(INT(B91)='今日の3件'!$C$5,"今日締切",IF(INT(B91)&lt;='今日の3件'!$C$5+3,"3日以内","これから"))),"入力確認")))</x:f>
      </x:c>
      <x:c r="F91" s="61"/>
      <x:c r="G91" s="66" t="n">
        <x:f>IF(OR(A91="",D91="完了",E91="入力確認"),999999999,INT(B91)*1000+ROW())</x:f>
        <x:v>999999999</x:v>
      </x:c>
      <x:c r="H91" s="66" t="n">
        <x:f>IF(G91=999999999,0,1)</x:f>
        <x:v>0</x:v>
      </x:c>
      <x:c r="I91" s="67" t="n">
        <x:f>IF(H91=0,0,IF(B91&lt;='今日の3件'!$C$5+7-WEEKDAY('今日の3件'!$C$5,2),C91,0))</x:f>
        <x:v>0</x:v>
      </x:c>
      <x:c r="J91" s="67" t="n">
        <x:f>IF(E91="入力確認",1,0)</x:f>
        <x:v>0</x:v>
      </x:c>
      <x:c r="K91" s="67" t="n">
        <x:f>IF(AND(A91&lt;&gt;"",D91="完了"),1,0)</x:f>
        <x:v>0</x:v>
      </x:c>
      <x:c r="L91" s="67" t="n">
        <x:f>IF(A91="",0,1)</x:f>
        <x:v>0</x:v>
      </x:c>
      <x:c r="M91" s="67" t="n">
        <x:f>IF(E91="期限超過",1,0)</x:f>
        <x:v>0</x:v>
      </x:c>
    </x:row>
    <x:row r="92" ht="28" customHeight="1">
      <x:c r="A92" s="62"/>
      <x:c r="B92" s="63"/>
      <x:c r="C92" s="65"/>
      <x:c r="D92" s="61"/>
      <x:c r="E92" s="49" t="str">
        <x:f>IF(A92="","",IF(D92="完了","完了",IF(AND(ISNUMBER(B92),B92&gt;=DATE(2000,1,1),B92&lt;=DATE(2100,12,31),ISNUMBER(C92),C92&gt;0,C92&lt;=100000,C92=INT(C92),OR(D92="未着手",D92="進行中")),IF(INT(B92)&lt;'今日の3件'!$C$5,"期限超過",IF(INT(B92)='今日の3件'!$C$5,"今日締切",IF(INT(B92)&lt;='今日の3件'!$C$5+3,"3日以内","これから"))),"入力確認")))</x:f>
      </x:c>
      <x:c r="F92" s="61"/>
      <x:c r="G92" s="66" t="n">
        <x:f>IF(OR(A92="",D92="完了",E92="入力確認"),999999999,INT(B92)*1000+ROW())</x:f>
        <x:v>999999999</x:v>
      </x:c>
      <x:c r="H92" s="66" t="n">
        <x:f>IF(G92=999999999,0,1)</x:f>
        <x:v>0</x:v>
      </x:c>
      <x:c r="I92" s="67" t="n">
        <x:f>IF(H92=0,0,IF(B92&lt;='今日の3件'!$C$5+7-WEEKDAY('今日の3件'!$C$5,2),C92,0))</x:f>
        <x:v>0</x:v>
      </x:c>
      <x:c r="J92" s="67" t="n">
        <x:f>IF(E92="入力確認",1,0)</x:f>
        <x:v>0</x:v>
      </x:c>
      <x:c r="K92" s="67" t="n">
        <x:f>IF(AND(A92&lt;&gt;"",D92="完了"),1,0)</x:f>
        <x:v>0</x:v>
      </x:c>
      <x:c r="L92" s="67" t="n">
        <x:f>IF(A92="",0,1)</x:f>
        <x:v>0</x:v>
      </x:c>
      <x:c r="M92" s="67" t="n">
        <x:f>IF(E92="期限超過",1,0)</x:f>
        <x:v>0</x:v>
      </x:c>
    </x:row>
    <x:row r="93" ht="28" customHeight="1">
      <x:c r="A93" s="62"/>
      <x:c r="B93" s="63"/>
      <x:c r="C93" s="65"/>
      <x:c r="D93" s="61"/>
      <x:c r="E93" s="49" t="str">
        <x:f>IF(A93="","",IF(D93="完了","完了",IF(AND(ISNUMBER(B93),B93&gt;=DATE(2000,1,1),B93&lt;=DATE(2100,12,31),ISNUMBER(C93),C93&gt;0,C93&lt;=100000,C93=INT(C93),OR(D93="未着手",D93="進行中")),IF(INT(B93)&lt;'今日の3件'!$C$5,"期限超過",IF(INT(B93)='今日の3件'!$C$5,"今日締切",IF(INT(B93)&lt;='今日の3件'!$C$5+3,"3日以内","これから"))),"入力確認")))</x:f>
      </x:c>
      <x:c r="F93" s="61"/>
      <x:c r="G93" s="66" t="n">
        <x:f>IF(OR(A93="",D93="完了",E93="入力確認"),999999999,INT(B93)*1000+ROW())</x:f>
        <x:v>999999999</x:v>
      </x:c>
      <x:c r="H93" s="66" t="n">
        <x:f>IF(G93=999999999,0,1)</x:f>
        <x:v>0</x:v>
      </x:c>
      <x:c r="I93" s="67" t="n">
        <x:f>IF(H93=0,0,IF(B93&lt;='今日の3件'!$C$5+7-WEEKDAY('今日の3件'!$C$5,2),C93,0))</x:f>
        <x:v>0</x:v>
      </x:c>
      <x:c r="J93" s="67" t="n">
        <x:f>IF(E93="入力確認",1,0)</x:f>
        <x:v>0</x:v>
      </x:c>
      <x:c r="K93" s="67" t="n">
        <x:f>IF(AND(A93&lt;&gt;"",D93="完了"),1,0)</x:f>
        <x:v>0</x:v>
      </x:c>
      <x:c r="L93" s="67" t="n">
        <x:f>IF(A93="",0,1)</x:f>
        <x:v>0</x:v>
      </x:c>
      <x:c r="M93" s="67" t="n">
        <x:f>IF(E93="期限超過",1,0)</x:f>
        <x:v>0</x:v>
      </x:c>
    </x:row>
    <x:row r="94" ht="28" customHeight="1">
      <x:c r="A94" s="62"/>
      <x:c r="B94" s="63"/>
      <x:c r="C94" s="65"/>
      <x:c r="D94" s="61"/>
      <x:c r="E94" s="49" t="str">
        <x:f>IF(A94="","",IF(D94="完了","完了",IF(AND(ISNUMBER(B94),B94&gt;=DATE(2000,1,1),B94&lt;=DATE(2100,12,31),ISNUMBER(C94),C94&gt;0,C94&lt;=100000,C94=INT(C94),OR(D94="未着手",D94="進行中")),IF(INT(B94)&lt;'今日の3件'!$C$5,"期限超過",IF(INT(B94)='今日の3件'!$C$5,"今日締切",IF(INT(B94)&lt;='今日の3件'!$C$5+3,"3日以内","これから"))),"入力確認")))</x:f>
      </x:c>
      <x:c r="F94" s="61"/>
      <x:c r="G94" s="66" t="n">
        <x:f>IF(OR(A94="",D94="完了",E94="入力確認"),999999999,INT(B94)*1000+ROW())</x:f>
        <x:v>999999999</x:v>
      </x:c>
      <x:c r="H94" s="66" t="n">
        <x:f>IF(G94=999999999,0,1)</x:f>
        <x:v>0</x:v>
      </x:c>
      <x:c r="I94" s="67" t="n">
        <x:f>IF(H94=0,0,IF(B94&lt;='今日の3件'!$C$5+7-WEEKDAY('今日の3件'!$C$5,2),C94,0))</x:f>
        <x:v>0</x:v>
      </x:c>
      <x:c r="J94" s="67" t="n">
        <x:f>IF(E94="入力確認",1,0)</x:f>
        <x:v>0</x:v>
      </x:c>
      <x:c r="K94" s="67" t="n">
        <x:f>IF(AND(A94&lt;&gt;"",D94="完了"),1,0)</x:f>
        <x:v>0</x:v>
      </x:c>
      <x:c r="L94" s="67" t="n">
        <x:f>IF(A94="",0,1)</x:f>
        <x:v>0</x:v>
      </x:c>
      <x:c r="M94" s="67" t="n">
        <x:f>IF(E94="期限超過",1,0)</x:f>
        <x:v>0</x:v>
      </x:c>
    </x:row>
    <x:row r="95" ht="28" customHeight="1">
      <x:c r="A95" s="62"/>
      <x:c r="B95" s="63"/>
      <x:c r="C95" s="65"/>
      <x:c r="D95" s="61"/>
      <x:c r="E95" s="49" t="str">
        <x:f>IF(A95="","",IF(D95="完了","完了",IF(AND(ISNUMBER(B95),B95&gt;=DATE(2000,1,1),B95&lt;=DATE(2100,12,31),ISNUMBER(C95),C95&gt;0,C95&lt;=100000,C95=INT(C95),OR(D95="未着手",D95="進行中")),IF(INT(B95)&lt;'今日の3件'!$C$5,"期限超過",IF(INT(B95)='今日の3件'!$C$5,"今日締切",IF(INT(B95)&lt;='今日の3件'!$C$5+3,"3日以内","これから"))),"入力確認")))</x:f>
      </x:c>
      <x:c r="F95" s="61"/>
      <x:c r="G95" s="66" t="n">
        <x:f>IF(OR(A95="",D95="完了",E95="入力確認"),999999999,INT(B95)*1000+ROW())</x:f>
        <x:v>999999999</x:v>
      </x:c>
      <x:c r="H95" s="66" t="n">
        <x:f>IF(G95=999999999,0,1)</x:f>
        <x:v>0</x:v>
      </x:c>
      <x:c r="I95" s="67" t="n">
        <x:f>IF(H95=0,0,IF(B95&lt;='今日の3件'!$C$5+7-WEEKDAY('今日の3件'!$C$5,2),C95,0))</x:f>
        <x:v>0</x:v>
      </x:c>
      <x:c r="J95" s="67" t="n">
        <x:f>IF(E95="入力確認",1,0)</x:f>
        <x:v>0</x:v>
      </x:c>
      <x:c r="K95" s="67" t="n">
        <x:f>IF(AND(A95&lt;&gt;"",D95="完了"),1,0)</x:f>
        <x:v>0</x:v>
      </x:c>
      <x:c r="L95" s="67" t="n">
        <x:f>IF(A95="",0,1)</x:f>
        <x:v>0</x:v>
      </x:c>
      <x:c r="M95" s="67" t="n">
        <x:f>IF(E95="期限超過",1,0)</x:f>
        <x:v>0</x:v>
      </x:c>
    </x:row>
    <x:row r="96" ht="28" customHeight="1">
      <x:c r="A96" s="62"/>
      <x:c r="B96" s="63"/>
      <x:c r="C96" s="65"/>
      <x:c r="D96" s="61"/>
      <x:c r="E96" s="49" t="str">
        <x:f>IF(A96="","",IF(D96="完了","完了",IF(AND(ISNUMBER(B96),B96&gt;=DATE(2000,1,1),B96&lt;=DATE(2100,12,31),ISNUMBER(C96),C96&gt;0,C96&lt;=100000,C96=INT(C96),OR(D96="未着手",D96="進行中")),IF(INT(B96)&lt;'今日の3件'!$C$5,"期限超過",IF(INT(B96)='今日の3件'!$C$5,"今日締切",IF(INT(B96)&lt;='今日の3件'!$C$5+3,"3日以内","これから"))),"入力確認")))</x:f>
      </x:c>
      <x:c r="F96" s="61"/>
      <x:c r="G96" s="66" t="n">
        <x:f>IF(OR(A96="",D96="完了",E96="入力確認"),999999999,INT(B96)*1000+ROW())</x:f>
        <x:v>999999999</x:v>
      </x:c>
      <x:c r="H96" s="66" t="n">
        <x:f>IF(G96=999999999,0,1)</x:f>
        <x:v>0</x:v>
      </x:c>
      <x:c r="I96" s="67" t="n">
        <x:f>IF(H96=0,0,IF(B96&lt;='今日の3件'!$C$5+7-WEEKDAY('今日の3件'!$C$5,2),C96,0))</x:f>
        <x:v>0</x:v>
      </x:c>
      <x:c r="J96" s="67" t="n">
        <x:f>IF(E96="入力確認",1,0)</x:f>
        <x:v>0</x:v>
      </x:c>
      <x:c r="K96" s="67" t="n">
        <x:f>IF(AND(A96&lt;&gt;"",D96="完了"),1,0)</x:f>
        <x:v>0</x:v>
      </x:c>
      <x:c r="L96" s="67" t="n">
        <x:f>IF(A96="",0,1)</x:f>
        <x:v>0</x:v>
      </x:c>
      <x:c r="M96" s="67" t="n">
        <x:f>IF(E96="期限超過",1,0)</x:f>
        <x:v>0</x:v>
      </x:c>
    </x:row>
    <x:row r="97" ht="28" customHeight="1">
      <x:c r="A97" s="62"/>
      <x:c r="B97" s="63"/>
      <x:c r="C97" s="65"/>
      <x:c r="D97" s="61"/>
      <x:c r="E97" s="49" t="str">
        <x:f>IF(A97="","",IF(D97="完了","完了",IF(AND(ISNUMBER(B97),B97&gt;=DATE(2000,1,1),B97&lt;=DATE(2100,12,31),ISNUMBER(C97),C97&gt;0,C97&lt;=100000,C97=INT(C97),OR(D97="未着手",D97="進行中")),IF(INT(B97)&lt;'今日の3件'!$C$5,"期限超過",IF(INT(B97)='今日の3件'!$C$5,"今日締切",IF(INT(B97)&lt;='今日の3件'!$C$5+3,"3日以内","これから"))),"入力確認")))</x:f>
      </x:c>
      <x:c r="F97" s="61"/>
      <x:c r="G97" s="66" t="n">
        <x:f>IF(OR(A97="",D97="完了",E97="入力確認"),999999999,INT(B97)*1000+ROW())</x:f>
        <x:v>999999999</x:v>
      </x:c>
      <x:c r="H97" s="66" t="n">
        <x:f>IF(G97=999999999,0,1)</x:f>
        <x:v>0</x:v>
      </x:c>
      <x:c r="I97" s="67" t="n">
        <x:f>IF(H97=0,0,IF(B97&lt;='今日の3件'!$C$5+7-WEEKDAY('今日の3件'!$C$5,2),C97,0))</x:f>
        <x:v>0</x:v>
      </x:c>
      <x:c r="J97" s="67" t="n">
        <x:f>IF(E97="入力確認",1,0)</x:f>
        <x:v>0</x:v>
      </x:c>
      <x:c r="K97" s="67" t="n">
        <x:f>IF(AND(A97&lt;&gt;"",D97="完了"),1,0)</x:f>
        <x:v>0</x:v>
      </x:c>
      <x:c r="L97" s="67" t="n">
        <x:f>IF(A97="",0,1)</x:f>
        <x:v>0</x:v>
      </x:c>
      <x:c r="M97" s="67" t="n">
        <x:f>IF(E97="期限超過",1,0)</x:f>
        <x:v>0</x:v>
      </x:c>
    </x:row>
    <x:row r="98" ht="28" customHeight="1">
      <x:c r="A98" s="62"/>
      <x:c r="B98" s="63"/>
      <x:c r="C98" s="65"/>
      <x:c r="D98" s="61"/>
      <x:c r="E98" s="49" t="str">
        <x:f>IF(A98="","",IF(D98="完了","完了",IF(AND(ISNUMBER(B98),B98&gt;=DATE(2000,1,1),B98&lt;=DATE(2100,12,31),ISNUMBER(C98),C98&gt;0,C98&lt;=100000,C98=INT(C98),OR(D98="未着手",D98="進行中")),IF(INT(B98)&lt;'今日の3件'!$C$5,"期限超過",IF(INT(B98)='今日の3件'!$C$5,"今日締切",IF(INT(B98)&lt;='今日の3件'!$C$5+3,"3日以内","これから"))),"入力確認")))</x:f>
      </x:c>
      <x:c r="F98" s="61"/>
      <x:c r="G98" s="66" t="n">
        <x:f>IF(OR(A98="",D98="完了",E98="入力確認"),999999999,INT(B98)*1000+ROW())</x:f>
        <x:v>999999999</x:v>
      </x:c>
      <x:c r="H98" s="66" t="n">
        <x:f>IF(G98=999999999,0,1)</x:f>
        <x:v>0</x:v>
      </x:c>
      <x:c r="I98" s="67" t="n">
        <x:f>IF(H98=0,0,IF(B98&lt;='今日の3件'!$C$5+7-WEEKDAY('今日の3件'!$C$5,2),C98,0))</x:f>
        <x:v>0</x:v>
      </x:c>
      <x:c r="J98" s="67" t="n">
        <x:f>IF(E98="入力確認",1,0)</x:f>
        <x:v>0</x:v>
      </x:c>
      <x:c r="K98" s="67" t="n">
        <x:f>IF(AND(A98&lt;&gt;"",D98="完了"),1,0)</x:f>
        <x:v>0</x:v>
      </x:c>
      <x:c r="L98" s="67" t="n">
        <x:f>IF(A98="",0,1)</x:f>
        <x:v>0</x:v>
      </x:c>
      <x:c r="M98" s="67" t="n">
        <x:f>IF(E98="期限超過",1,0)</x:f>
        <x:v>0</x:v>
      </x:c>
    </x:row>
    <x:row r="99" ht="28" customHeight="1">
      <x:c r="A99" s="62"/>
      <x:c r="B99" s="63"/>
      <x:c r="C99" s="65"/>
      <x:c r="D99" s="61"/>
      <x:c r="E99" s="49" t="str">
        <x:f>IF(A99="","",IF(D99="完了","完了",IF(AND(ISNUMBER(B99),B99&gt;=DATE(2000,1,1),B99&lt;=DATE(2100,12,31),ISNUMBER(C99),C99&gt;0,C99&lt;=100000,C99=INT(C99),OR(D99="未着手",D99="進行中")),IF(INT(B99)&lt;'今日の3件'!$C$5,"期限超過",IF(INT(B99)='今日の3件'!$C$5,"今日締切",IF(INT(B99)&lt;='今日の3件'!$C$5+3,"3日以内","これから"))),"入力確認")))</x:f>
      </x:c>
      <x:c r="F99" s="61"/>
      <x:c r="G99" s="66" t="n">
        <x:f>IF(OR(A99="",D99="完了",E99="入力確認"),999999999,INT(B99)*1000+ROW())</x:f>
        <x:v>999999999</x:v>
      </x:c>
      <x:c r="H99" s="66" t="n">
        <x:f>IF(G99=999999999,0,1)</x:f>
        <x:v>0</x:v>
      </x:c>
      <x:c r="I99" s="67" t="n">
        <x:f>IF(H99=0,0,IF(B99&lt;='今日の3件'!$C$5+7-WEEKDAY('今日の3件'!$C$5,2),C99,0))</x:f>
        <x:v>0</x:v>
      </x:c>
      <x:c r="J99" s="67" t="n">
        <x:f>IF(E99="入力確認",1,0)</x:f>
        <x:v>0</x:v>
      </x:c>
      <x:c r="K99" s="67" t="n">
        <x:f>IF(AND(A99&lt;&gt;"",D99="完了"),1,0)</x:f>
        <x:v>0</x:v>
      </x:c>
      <x:c r="L99" s="67" t="n">
        <x:f>IF(A99="",0,1)</x:f>
        <x:v>0</x:v>
      </x:c>
      <x:c r="M99" s="67" t="n">
        <x:f>IF(E99="期限超過",1,0)</x:f>
        <x:v>0</x:v>
      </x:c>
    </x:row>
    <x:row r="100" ht="28" customHeight="1">
      <x:c r="A100" s="62"/>
      <x:c r="B100" s="63"/>
      <x:c r="C100" s="65"/>
      <x:c r="D100" s="61"/>
      <x:c r="E100" s="49" t="str">
        <x:f>IF(A100="","",IF(D100="完了","完了",IF(AND(ISNUMBER(B100),B100&gt;=DATE(2000,1,1),B100&lt;=DATE(2100,12,31),ISNUMBER(C100),C100&gt;0,C100&lt;=100000,C100=INT(C100),OR(D100="未着手",D100="進行中")),IF(INT(B100)&lt;'今日の3件'!$C$5,"期限超過",IF(INT(B100)='今日の3件'!$C$5,"今日締切",IF(INT(B100)&lt;='今日の3件'!$C$5+3,"3日以内","これから"))),"入力確認")))</x:f>
      </x:c>
      <x:c r="F100" s="61"/>
      <x:c r="G100" s="66" t="n">
        <x:f>IF(OR(A100="",D100="完了",E100="入力確認"),999999999,INT(B100)*1000+ROW())</x:f>
        <x:v>999999999</x:v>
      </x:c>
      <x:c r="H100" s="66" t="n">
        <x:f>IF(G100=999999999,0,1)</x:f>
        <x:v>0</x:v>
      </x:c>
      <x:c r="I100" s="67" t="n">
        <x:f>IF(H100=0,0,IF(B100&lt;='今日の3件'!$C$5+7-WEEKDAY('今日の3件'!$C$5,2),C100,0))</x:f>
        <x:v>0</x:v>
      </x:c>
      <x:c r="J100" s="67" t="n">
        <x:f>IF(E100="入力確認",1,0)</x:f>
        <x:v>0</x:v>
      </x:c>
      <x:c r="K100" s="67" t="n">
        <x:f>IF(AND(A100&lt;&gt;"",D100="完了"),1,0)</x:f>
        <x:v>0</x:v>
      </x:c>
      <x:c r="L100" s="67" t="n">
        <x:f>IF(A100="",0,1)</x:f>
        <x:v>0</x:v>
      </x:c>
      <x:c r="M100" s="67" t="n">
        <x:f>IF(E100="期限超過",1,0)</x:f>
        <x:v>0</x:v>
      </x:c>
    </x:row>
    <x:row r="101" ht="28" customHeight="1">
      <x:c r="A101" s="62"/>
      <x:c r="B101" s="63"/>
      <x:c r="C101" s="65"/>
      <x:c r="D101" s="61"/>
      <x:c r="E101" s="49" t="str">
        <x:f>IF(A101="","",IF(D101="完了","完了",IF(AND(ISNUMBER(B101),B101&gt;=DATE(2000,1,1),B101&lt;=DATE(2100,12,31),ISNUMBER(C101),C101&gt;0,C101&lt;=100000,C101=INT(C101),OR(D101="未着手",D101="進行中")),IF(INT(B101)&lt;'今日の3件'!$C$5,"期限超過",IF(INT(B101)='今日の3件'!$C$5,"今日締切",IF(INT(B101)&lt;='今日の3件'!$C$5+3,"3日以内","これから"))),"入力確認")))</x:f>
      </x:c>
      <x:c r="F101" s="61"/>
      <x:c r="G101" s="66" t="n">
        <x:f>IF(OR(A101="",D101="完了",E101="入力確認"),999999999,INT(B101)*1000+ROW())</x:f>
        <x:v>999999999</x:v>
      </x:c>
      <x:c r="H101" s="66" t="n">
        <x:f>IF(G101=999999999,0,1)</x:f>
        <x:v>0</x:v>
      </x:c>
      <x:c r="I101" s="67" t="n">
        <x:f>IF(H101=0,0,IF(B101&lt;='今日の3件'!$C$5+7-WEEKDAY('今日の3件'!$C$5,2),C101,0))</x:f>
        <x:v>0</x:v>
      </x:c>
      <x:c r="J101" s="67" t="n">
        <x:f>IF(E101="入力確認",1,0)</x:f>
        <x:v>0</x:v>
      </x:c>
      <x:c r="K101" s="67" t="n">
        <x:f>IF(AND(A101&lt;&gt;"",D101="完了"),1,0)</x:f>
        <x:v>0</x:v>
      </x:c>
      <x:c r="L101" s="67" t="n">
        <x:f>IF(A101="",0,1)</x:f>
        <x:v>0</x:v>
      </x:c>
      <x:c r="M101" s="67" t="n">
        <x:f>IF(E101="期限超過",1,0)</x:f>
        <x:v>0</x:v>
      </x:c>
    </x:row>
    <x:row r="102" ht="28" customHeight="1">
      <x:c r="A102" s="62"/>
      <x:c r="B102" s="63"/>
      <x:c r="C102" s="65"/>
      <x:c r="D102" s="61"/>
      <x:c r="E102" s="49" t="str">
        <x:f>IF(A102="","",IF(D102="完了","完了",IF(AND(ISNUMBER(B102),B102&gt;=DATE(2000,1,1),B102&lt;=DATE(2100,12,31),ISNUMBER(C102),C102&gt;0,C102&lt;=100000,C102=INT(C102),OR(D102="未着手",D102="進行中")),IF(INT(B102)&lt;'今日の3件'!$C$5,"期限超過",IF(INT(B102)='今日の3件'!$C$5,"今日締切",IF(INT(B102)&lt;='今日の3件'!$C$5+3,"3日以内","これから"))),"入力確認")))</x:f>
      </x:c>
      <x:c r="F102" s="61"/>
      <x:c r="G102" s="66" t="n">
        <x:f>IF(OR(A102="",D102="完了",E102="入力確認"),999999999,INT(B102)*1000+ROW())</x:f>
        <x:v>999999999</x:v>
      </x:c>
      <x:c r="H102" s="66" t="n">
        <x:f>IF(G102=999999999,0,1)</x:f>
        <x:v>0</x:v>
      </x:c>
      <x:c r="I102" s="67" t="n">
        <x:f>IF(H102=0,0,IF(B102&lt;='今日の3件'!$C$5+7-WEEKDAY('今日の3件'!$C$5,2),C102,0))</x:f>
        <x:v>0</x:v>
      </x:c>
      <x:c r="J102" s="67" t="n">
        <x:f>IF(E102="入力確認",1,0)</x:f>
        <x:v>0</x:v>
      </x:c>
      <x:c r="K102" s="67" t="n">
        <x:f>IF(AND(A102&lt;&gt;"",D102="完了"),1,0)</x:f>
        <x:v>0</x:v>
      </x:c>
      <x:c r="L102" s="67" t="n">
        <x:f>IF(A102="",0,1)</x:f>
        <x:v>0</x:v>
      </x:c>
      <x:c r="M102" s="67" t="n">
        <x:f>IF(E102="期限超過",1,0)</x:f>
        <x:v>0</x:v>
      </x:c>
    </x:row>
    <x:row r="103" ht="28" customHeight="1">
      <x:c r="A103" s="62"/>
      <x:c r="B103" s="63"/>
      <x:c r="C103" s="65"/>
      <x:c r="D103" s="61"/>
      <x:c r="E103" s="49" t="str">
        <x:f>IF(A103="","",IF(D103="完了","完了",IF(AND(ISNUMBER(B103),B103&gt;=DATE(2000,1,1),B103&lt;=DATE(2100,12,31),ISNUMBER(C103),C103&gt;0,C103&lt;=100000,C103=INT(C103),OR(D103="未着手",D103="進行中")),IF(INT(B103)&lt;'今日の3件'!$C$5,"期限超過",IF(INT(B103)='今日の3件'!$C$5,"今日締切",IF(INT(B103)&lt;='今日の3件'!$C$5+3,"3日以内","これから"))),"入力確認")))</x:f>
      </x:c>
      <x:c r="F103" s="61"/>
      <x:c r="G103" s="66" t="n">
        <x:f>IF(OR(A103="",D103="完了",E103="入力確認"),999999999,INT(B103)*1000+ROW())</x:f>
        <x:v>999999999</x:v>
      </x:c>
      <x:c r="H103" s="66" t="n">
        <x:f>IF(G103=999999999,0,1)</x:f>
        <x:v>0</x:v>
      </x:c>
      <x:c r="I103" s="67" t="n">
        <x:f>IF(H103=0,0,IF(B103&lt;='今日の3件'!$C$5+7-WEEKDAY('今日の3件'!$C$5,2),C103,0))</x:f>
        <x:v>0</x:v>
      </x:c>
      <x:c r="J103" s="67" t="n">
        <x:f>IF(E103="入力確認",1,0)</x:f>
        <x:v>0</x:v>
      </x:c>
      <x:c r="K103" s="67" t="n">
        <x:f>IF(AND(A103&lt;&gt;"",D103="完了"),1,0)</x:f>
        <x:v>0</x:v>
      </x:c>
      <x:c r="L103" s="67" t="n">
        <x:f>IF(A103="",0,1)</x:f>
        <x:v>0</x:v>
      </x:c>
      <x:c r="M103" s="67" t="n">
        <x:f>IF(E103="期限超過",1,0)</x:f>
        <x:v>0</x:v>
      </x:c>
    </x:row>
    <x:row r="104" ht="28" customHeight="1">
      <x:c r="A104" s="62"/>
      <x:c r="B104" s="63"/>
      <x:c r="C104" s="65"/>
      <x:c r="D104" s="61"/>
      <x:c r="E104" s="49" t="str">
        <x:f>IF(A104="","",IF(D104="完了","完了",IF(AND(ISNUMBER(B104),B104&gt;=DATE(2000,1,1),B104&lt;=DATE(2100,12,31),ISNUMBER(C104),C104&gt;0,C104&lt;=100000,C104=INT(C104),OR(D104="未着手",D104="進行中")),IF(INT(B104)&lt;'今日の3件'!$C$5,"期限超過",IF(INT(B104)='今日の3件'!$C$5,"今日締切",IF(INT(B104)&lt;='今日の3件'!$C$5+3,"3日以内","これから"))),"入力確認")))</x:f>
      </x:c>
      <x:c r="F104" s="61"/>
      <x:c r="G104" s="66" t="n">
        <x:f>IF(OR(A104="",D104="完了",E104="入力確認"),999999999,INT(B104)*1000+ROW())</x:f>
        <x:v>999999999</x:v>
      </x:c>
      <x:c r="H104" s="66" t="n">
        <x:f>IF(G104=999999999,0,1)</x:f>
        <x:v>0</x:v>
      </x:c>
      <x:c r="I104" s="67" t="n">
        <x:f>IF(H104=0,0,IF(B104&lt;='今日の3件'!$C$5+7-WEEKDAY('今日の3件'!$C$5,2),C104,0))</x:f>
        <x:v>0</x:v>
      </x:c>
      <x:c r="J104" s="67" t="n">
        <x:f>IF(E104="入力確認",1,0)</x:f>
        <x:v>0</x:v>
      </x:c>
      <x:c r="K104" s="67" t="n">
        <x:f>IF(AND(A104&lt;&gt;"",D104="完了"),1,0)</x:f>
        <x:v>0</x:v>
      </x:c>
      <x:c r="L104" s="67" t="n">
        <x:f>IF(A104="",0,1)</x:f>
        <x:v>0</x:v>
      </x:c>
      <x:c r="M104" s="67" t="n">
        <x:f>IF(E104="期限超過",1,0)</x:f>
        <x:v>0</x:v>
      </x:c>
    </x:row>
    <x:row r="105" ht="28" customHeight="1">
      <x:c r="A105" s="62"/>
      <x:c r="B105" s="63"/>
      <x:c r="C105" s="65"/>
      <x:c r="D105" s="61"/>
      <x:c r="E105" s="49" t="str">
        <x:f>IF(A105="","",IF(D105="完了","完了",IF(AND(ISNUMBER(B105),B105&gt;=DATE(2000,1,1),B105&lt;=DATE(2100,12,31),ISNUMBER(C105),C105&gt;0,C105&lt;=100000,C105=INT(C105),OR(D105="未着手",D105="進行中")),IF(INT(B105)&lt;'今日の3件'!$C$5,"期限超過",IF(INT(B105)='今日の3件'!$C$5,"今日締切",IF(INT(B105)&lt;='今日の3件'!$C$5+3,"3日以内","これから"))),"入力確認")))</x:f>
      </x:c>
      <x:c r="F105" s="61"/>
      <x:c r="G105" s="66" t="n">
        <x:f>IF(OR(A105="",D105="完了",E105="入力確認"),999999999,INT(B105)*1000+ROW())</x:f>
        <x:v>999999999</x:v>
      </x:c>
      <x:c r="H105" s="66" t="n">
        <x:f>IF(G105=999999999,0,1)</x:f>
        <x:v>0</x:v>
      </x:c>
      <x:c r="I105" s="67" t="n">
        <x:f>IF(H105=0,0,IF(B105&lt;='今日の3件'!$C$5+7-WEEKDAY('今日の3件'!$C$5,2),C105,0))</x:f>
        <x:v>0</x:v>
      </x:c>
      <x:c r="J105" s="67" t="n">
        <x:f>IF(E105="入力確認",1,0)</x:f>
        <x:v>0</x:v>
      </x:c>
      <x:c r="K105" s="67" t="n">
        <x:f>IF(AND(A105&lt;&gt;"",D105="完了"),1,0)</x:f>
        <x:v>0</x:v>
      </x:c>
      <x:c r="L105" s="67" t="n">
        <x:f>IF(A105="",0,1)</x:f>
        <x:v>0</x:v>
      </x:c>
      <x:c r="M105" s="67" t="n">
        <x:f>IF(E105="期限超過",1,0)</x:f>
        <x:v>0</x:v>
      </x:c>
    </x:row>
    <x:row r="106" ht="28" customHeight="1">
      <x:c r="A106" s="62"/>
      <x:c r="B106" s="63"/>
      <x:c r="C106" s="65"/>
      <x:c r="D106" s="61"/>
      <x:c r="E106" s="49" t="str">
        <x:f>IF(A106="","",IF(D106="完了","完了",IF(AND(ISNUMBER(B106),B106&gt;=DATE(2000,1,1),B106&lt;=DATE(2100,12,31),ISNUMBER(C106),C106&gt;0,C106&lt;=100000,C106=INT(C106),OR(D106="未着手",D106="進行中")),IF(INT(B106)&lt;'今日の3件'!$C$5,"期限超過",IF(INT(B106)='今日の3件'!$C$5,"今日締切",IF(INT(B106)&lt;='今日の3件'!$C$5+3,"3日以内","これから"))),"入力確認")))</x:f>
      </x:c>
      <x:c r="F106" s="61"/>
      <x:c r="G106" s="66" t="n">
        <x:f>IF(OR(A106="",D106="完了",E106="入力確認"),999999999,INT(B106)*1000+ROW())</x:f>
        <x:v>999999999</x:v>
      </x:c>
      <x:c r="H106" s="66" t="n">
        <x:f>IF(G106=999999999,0,1)</x:f>
        <x:v>0</x:v>
      </x:c>
      <x:c r="I106" s="67" t="n">
        <x:f>IF(H106=0,0,IF(B106&lt;='今日の3件'!$C$5+7-WEEKDAY('今日の3件'!$C$5,2),C106,0))</x:f>
        <x:v>0</x:v>
      </x:c>
      <x:c r="J106" s="67" t="n">
        <x:f>IF(E106="入力確認",1,0)</x:f>
        <x:v>0</x:v>
      </x:c>
      <x:c r="K106" s="67" t="n">
        <x:f>IF(AND(A106&lt;&gt;"",D106="完了"),1,0)</x:f>
        <x:v>0</x:v>
      </x:c>
      <x:c r="L106" s="67" t="n">
        <x:f>IF(A106="",0,1)</x:f>
        <x:v>0</x:v>
      </x:c>
      <x:c r="M106" s="67" t="n">
        <x:f>IF(E106="期限超過",1,0)</x:f>
        <x:v>0</x:v>
      </x:c>
    </x:row>
    <x:row r="107" ht="28" customHeight="1">
      <x:c r="A107" s="62"/>
      <x:c r="B107" s="63"/>
      <x:c r="C107" s="65"/>
      <x:c r="D107" s="61"/>
      <x:c r="E107" s="49" t="str">
        <x:f>IF(A107="","",IF(D107="完了","完了",IF(AND(ISNUMBER(B107),B107&gt;=DATE(2000,1,1),B107&lt;=DATE(2100,12,31),ISNUMBER(C107),C107&gt;0,C107&lt;=100000,C107=INT(C107),OR(D107="未着手",D107="進行中")),IF(INT(B107)&lt;'今日の3件'!$C$5,"期限超過",IF(INT(B107)='今日の3件'!$C$5,"今日締切",IF(INT(B107)&lt;='今日の3件'!$C$5+3,"3日以内","これから"))),"入力確認")))</x:f>
      </x:c>
      <x:c r="F107" s="61"/>
      <x:c r="G107" s="66" t="n">
        <x:f>IF(OR(A107="",D107="完了",E107="入力確認"),999999999,INT(B107)*1000+ROW())</x:f>
        <x:v>999999999</x:v>
      </x:c>
      <x:c r="H107" s="66" t="n">
        <x:f>IF(G107=999999999,0,1)</x:f>
        <x:v>0</x:v>
      </x:c>
      <x:c r="I107" s="67" t="n">
        <x:f>IF(H107=0,0,IF(B107&lt;='今日の3件'!$C$5+7-WEEKDAY('今日の3件'!$C$5,2),C107,0))</x:f>
        <x:v>0</x:v>
      </x:c>
      <x:c r="J107" s="67" t="n">
        <x:f>IF(E107="入力確認",1,0)</x:f>
        <x:v>0</x:v>
      </x:c>
      <x:c r="K107" s="67" t="n">
        <x:f>IF(AND(A107&lt;&gt;"",D107="完了"),1,0)</x:f>
        <x:v>0</x:v>
      </x:c>
      <x:c r="L107" s="67" t="n">
        <x:f>IF(A107="",0,1)</x:f>
        <x:v>0</x:v>
      </x:c>
      <x:c r="M107" s="67" t="n">
        <x:f>IF(E107="期限超過",1,0)</x:f>
        <x:v>0</x:v>
      </x:c>
    </x:row>
    <x:row r="108" ht="28" customHeight="1">
      <x:c r="A108" s="62"/>
      <x:c r="B108" s="63"/>
      <x:c r="C108" s="65"/>
      <x:c r="D108" s="61"/>
      <x:c r="E108" s="49" t="str">
        <x:f>IF(A108="","",IF(D108="完了","完了",IF(AND(ISNUMBER(B108),B108&gt;=DATE(2000,1,1),B108&lt;=DATE(2100,12,31),ISNUMBER(C108),C108&gt;0,C108&lt;=100000,C108=INT(C108),OR(D108="未着手",D108="進行中")),IF(INT(B108)&lt;'今日の3件'!$C$5,"期限超過",IF(INT(B108)='今日の3件'!$C$5,"今日締切",IF(INT(B108)&lt;='今日の3件'!$C$5+3,"3日以内","これから"))),"入力確認")))</x:f>
      </x:c>
      <x:c r="F108" s="61"/>
      <x:c r="G108" s="66" t="n">
        <x:f>IF(OR(A108="",D108="完了",E108="入力確認"),999999999,INT(B108)*1000+ROW())</x:f>
        <x:v>999999999</x:v>
      </x:c>
      <x:c r="H108" s="66" t="n">
        <x:f>IF(G108=999999999,0,1)</x:f>
        <x:v>0</x:v>
      </x:c>
      <x:c r="I108" s="67" t="n">
        <x:f>IF(H108=0,0,IF(B108&lt;='今日の3件'!$C$5+7-WEEKDAY('今日の3件'!$C$5,2),C108,0))</x:f>
        <x:v>0</x:v>
      </x:c>
      <x:c r="J108" s="67" t="n">
        <x:f>IF(E108="入力確認",1,0)</x:f>
        <x:v>0</x:v>
      </x:c>
      <x:c r="K108" s="67" t="n">
        <x:f>IF(AND(A108&lt;&gt;"",D108="完了"),1,0)</x:f>
        <x:v>0</x:v>
      </x:c>
      <x:c r="L108" s="67" t="n">
        <x:f>IF(A108="",0,1)</x:f>
        <x:v>0</x:v>
      </x:c>
      <x:c r="M108" s="67" t="n">
        <x:f>IF(E108="期限超過",1,0)</x:f>
        <x:v>0</x:v>
      </x:c>
    </x:row>
    <x:row r="109" ht="28" customHeight="1">
      <x:c r="A109" s="62"/>
      <x:c r="B109" s="63"/>
      <x:c r="C109" s="65"/>
      <x:c r="D109" s="61"/>
      <x:c r="E109" s="49" t="str">
        <x:f>IF(A109="","",IF(D109="完了","完了",IF(AND(ISNUMBER(B109),B109&gt;=DATE(2000,1,1),B109&lt;=DATE(2100,12,31),ISNUMBER(C109),C109&gt;0,C109&lt;=100000,C109=INT(C109),OR(D109="未着手",D109="進行中")),IF(INT(B109)&lt;'今日の3件'!$C$5,"期限超過",IF(INT(B109)='今日の3件'!$C$5,"今日締切",IF(INT(B109)&lt;='今日の3件'!$C$5+3,"3日以内","これから"))),"入力確認")))</x:f>
      </x:c>
      <x:c r="F109" s="61"/>
      <x:c r="G109" s="66" t="n">
        <x:f>IF(OR(A109="",D109="完了",E109="入力確認"),999999999,INT(B109)*1000+ROW())</x:f>
        <x:v>999999999</x:v>
      </x:c>
      <x:c r="H109" s="66" t="n">
        <x:f>IF(G109=999999999,0,1)</x:f>
        <x:v>0</x:v>
      </x:c>
      <x:c r="I109" s="67" t="n">
        <x:f>IF(H109=0,0,IF(B109&lt;='今日の3件'!$C$5+7-WEEKDAY('今日の3件'!$C$5,2),C109,0))</x:f>
        <x:v>0</x:v>
      </x:c>
      <x:c r="J109" s="67" t="n">
        <x:f>IF(E109="入力確認",1,0)</x:f>
        <x:v>0</x:v>
      </x:c>
      <x:c r="K109" s="67" t="n">
        <x:f>IF(AND(A109&lt;&gt;"",D109="完了"),1,0)</x:f>
        <x:v>0</x:v>
      </x:c>
      <x:c r="L109" s="67" t="n">
        <x:f>IF(A109="",0,1)</x:f>
        <x:v>0</x:v>
      </x:c>
      <x:c r="M109" s="67" t="n">
        <x:f>IF(E109="期限超過",1,0)</x:f>
        <x:v>0</x:v>
      </x:c>
    </x:row>
    <x:row r="110" ht="28" customHeight="1">
      <x:c r="A110" s="62"/>
      <x:c r="B110" s="63"/>
      <x:c r="C110" s="65"/>
      <x:c r="D110" s="61"/>
      <x:c r="E110" s="49" t="str">
        <x:f>IF(A110="","",IF(D110="完了","完了",IF(AND(ISNUMBER(B110),B110&gt;=DATE(2000,1,1),B110&lt;=DATE(2100,12,31),ISNUMBER(C110),C110&gt;0,C110&lt;=100000,C110=INT(C110),OR(D110="未着手",D110="進行中")),IF(INT(B110)&lt;'今日の3件'!$C$5,"期限超過",IF(INT(B110)='今日の3件'!$C$5,"今日締切",IF(INT(B110)&lt;='今日の3件'!$C$5+3,"3日以内","これから"))),"入力確認")))</x:f>
      </x:c>
      <x:c r="F110" s="61"/>
      <x:c r="G110" s="66" t="n">
        <x:f>IF(OR(A110="",D110="完了",E110="入力確認"),999999999,INT(B110)*1000+ROW())</x:f>
        <x:v>999999999</x:v>
      </x:c>
      <x:c r="H110" s="66" t="n">
        <x:f>IF(G110=999999999,0,1)</x:f>
        <x:v>0</x:v>
      </x:c>
      <x:c r="I110" s="67" t="n">
        <x:f>IF(H110=0,0,IF(B110&lt;='今日の3件'!$C$5+7-WEEKDAY('今日の3件'!$C$5,2),C110,0))</x:f>
        <x:v>0</x:v>
      </x:c>
      <x:c r="J110" s="67" t="n">
        <x:f>IF(E110="入力確認",1,0)</x:f>
        <x:v>0</x:v>
      </x:c>
      <x:c r="K110" s="67" t="n">
        <x:f>IF(AND(A110&lt;&gt;"",D110="完了"),1,0)</x:f>
        <x:v>0</x:v>
      </x:c>
      <x:c r="L110" s="67" t="n">
        <x:f>IF(A110="",0,1)</x:f>
        <x:v>0</x:v>
      </x:c>
      <x:c r="M110" s="67" t="n">
        <x:f>IF(E110="期限超過",1,0)</x:f>
        <x:v>0</x:v>
      </x:c>
    </x:row>
    <x:row r="111" ht="28" customHeight="1">
      <x:c r="A111" s="62"/>
      <x:c r="B111" s="63"/>
      <x:c r="C111" s="65"/>
      <x:c r="D111" s="61"/>
      <x:c r="E111" s="49" t="str">
        <x:f>IF(A111="","",IF(D111="完了","完了",IF(AND(ISNUMBER(B111),B111&gt;=DATE(2000,1,1),B111&lt;=DATE(2100,12,31),ISNUMBER(C111),C111&gt;0,C111&lt;=100000,C111=INT(C111),OR(D111="未着手",D111="進行中")),IF(INT(B111)&lt;'今日の3件'!$C$5,"期限超過",IF(INT(B111)='今日の3件'!$C$5,"今日締切",IF(INT(B111)&lt;='今日の3件'!$C$5+3,"3日以内","これから"))),"入力確認")))</x:f>
      </x:c>
      <x:c r="F111" s="61"/>
      <x:c r="G111" s="66" t="n">
        <x:f>IF(OR(A111="",D111="完了",E111="入力確認"),999999999,INT(B111)*1000+ROW())</x:f>
        <x:v>999999999</x:v>
      </x:c>
      <x:c r="H111" s="66" t="n">
        <x:f>IF(G111=999999999,0,1)</x:f>
        <x:v>0</x:v>
      </x:c>
      <x:c r="I111" s="67" t="n">
        <x:f>IF(H111=0,0,IF(B111&lt;='今日の3件'!$C$5+7-WEEKDAY('今日の3件'!$C$5,2),C111,0))</x:f>
        <x:v>0</x:v>
      </x:c>
      <x:c r="J111" s="67" t="n">
        <x:f>IF(E111="入力確認",1,0)</x:f>
        <x:v>0</x:v>
      </x:c>
      <x:c r="K111" s="67" t="n">
        <x:f>IF(AND(A111&lt;&gt;"",D111="完了"),1,0)</x:f>
        <x:v>0</x:v>
      </x:c>
      <x:c r="L111" s="67" t="n">
        <x:f>IF(A111="",0,1)</x:f>
        <x:v>0</x:v>
      </x:c>
      <x:c r="M111" s="67" t="n">
        <x:f>IF(E111="期限超過",1,0)</x:f>
        <x:v>0</x:v>
      </x:c>
    </x:row>
    <x:row r="112" ht="28" customHeight="1">
      <x:c r="A112" s="62"/>
      <x:c r="B112" s="63"/>
      <x:c r="C112" s="65"/>
      <x:c r="D112" s="61"/>
      <x:c r="E112" s="49" t="str">
        <x:f>IF(A112="","",IF(D112="完了","完了",IF(AND(ISNUMBER(B112),B112&gt;=DATE(2000,1,1),B112&lt;=DATE(2100,12,31),ISNUMBER(C112),C112&gt;0,C112&lt;=100000,C112=INT(C112),OR(D112="未着手",D112="進行中")),IF(INT(B112)&lt;'今日の3件'!$C$5,"期限超過",IF(INT(B112)='今日の3件'!$C$5,"今日締切",IF(INT(B112)&lt;='今日の3件'!$C$5+3,"3日以内","これから"))),"入力確認")))</x:f>
      </x:c>
      <x:c r="F112" s="61"/>
      <x:c r="G112" s="66" t="n">
        <x:f>IF(OR(A112="",D112="完了",E112="入力確認"),999999999,INT(B112)*1000+ROW())</x:f>
        <x:v>999999999</x:v>
      </x:c>
      <x:c r="H112" s="66" t="n">
        <x:f>IF(G112=999999999,0,1)</x:f>
        <x:v>0</x:v>
      </x:c>
      <x:c r="I112" s="67" t="n">
        <x:f>IF(H112=0,0,IF(B112&lt;='今日の3件'!$C$5+7-WEEKDAY('今日の3件'!$C$5,2),C112,0))</x:f>
        <x:v>0</x:v>
      </x:c>
      <x:c r="J112" s="67" t="n">
        <x:f>IF(E112="入力確認",1,0)</x:f>
        <x:v>0</x:v>
      </x:c>
      <x:c r="K112" s="67" t="n">
        <x:f>IF(AND(A112&lt;&gt;"",D112="完了"),1,0)</x:f>
        <x:v>0</x:v>
      </x:c>
      <x:c r="L112" s="67" t="n">
        <x:f>IF(A112="",0,1)</x:f>
        <x:v>0</x:v>
      </x:c>
      <x:c r="M112" s="67" t="n">
        <x:f>IF(E112="期限超過",1,0)</x:f>
        <x:v>0</x:v>
      </x:c>
    </x:row>
    <x:row r="113" ht="28" customHeight="1">
      <x:c r="A113" s="62"/>
      <x:c r="B113" s="63"/>
      <x:c r="C113" s="65"/>
      <x:c r="D113" s="61"/>
      <x:c r="E113" s="49" t="str">
        <x:f>IF(A113="","",IF(D113="完了","完了",IF(AND(ISNUMBER(B113),B113&gt;=DATE(2000,1,1),B113&lt;=DATE(2100,12,31),ISNUMBER(C113),C113&gt;0,C113&lt;=100000,C113=INT(C113),OR(D113="未着手",D113="進行中")),IF(INT(B113)&lt;'今日の3件'!$C$5,"期限超過",IF(INT(B113)='今日の3件'!$C$5,"今日締切",IF(INT(B113)&lt;='今日の3件'!$C$5+3,"3日以内","これから"))),"入力確認")))</x:f>
      </x:c>
      <x:c r="F113" s="61"/>
      <x:c r="G113" s="66" t="n">
        <x:f>IF(OR(A113="",D113="完了",E113="入力確認"),999999999,INT(B113)*1000+ROW())</x:f>
        <x:v>999999999</x:v>
      </x:c>
      <x:c r="H113" s="66" t="n">
        <x:f>IF(G113=999999999,0,1)</x:f>
        <x:v>0</x:v>
      </x:c>
      <x:c r="I113" s="67" t="n">
        <x:f>IF(H113=0,0,IF(B113&lt;='今日の3件'!$C$5+7-WEEKDAY('今日の3件'!$C$5,2),C113,0))</x:f>
        <x:v>0</x:v>
      </x:c>
      <x:c r="J113" s="67" t="n">
        <x:f>IF(E113="入力確認",1,0)</x:f>
        <x:v>0</x:v>
      </x:c>
      <x:c r="K113" s="67" t="n">
        <x:f>IF(AND(A113&lt;&gt;"",D113="完了"),1,0)</x:f>
        <x:v>0</x:v>
      </x:c>
      <x:c r="L113" s="67" t="n">
        <x:f>IF(A113="",0,1)</x:f>
        <x:v>0</x:v>
      </x:c>
      <x:c r="M113" s="67" t="n">
        <x:f>IF(E113="期限超過",1,0)</x:f>
        <x:v>0</x:v>
      </x:c>
    </x:row>
    <x:row r="114" ht="28" customHeight="1">
      <x:c r="A114" s="62"/>
      <x:c r="B114" s="63"/>
      <x:c r="C114" s="65"/>
      <x:c r="D114" s="61"/>
      <x:c r="E114" s="49" t="str">
        <x:f>IF(A114="","",IF(D114="完了","完了",IF(AND(ISNUMBER(B114),B114&gt;=DATE(2000,1,1),B114&lt;=DATE(2100,12,31),ISNUMBER(C114),C114&gt;0,C114&lt;=100000,C114=INT(C114),OR(D114="未着手",D114="進行中")),IF(INT(B114)&lt;'今日の3件'!$C$5,"期限超過",IF(INT(B114)='今日の3件'!$C$5,"今日締切",IF(INT(B114)&lt;='今日の3件'!$C$5+3,"3日以内","これから"))),"入力確認")))</x:f>
      </x:c>
      <x:c r="F114" s="61"/>
      <x:c r="G114" s="66" t="n">
        <x:f>IF(OR(A114="",D114="完了",E114="入力確認"),999999999,INT(B114)*1000+ROW())</x:f>
        <x:v>999999999</x:v>
      </x:c>
      <x:c r="H114" s="66" t="n">
        <x:f>IF(G114=999999999,0,1)</x:f>
        <x:v>0</x:v>
      </x:c>
      <x:c r="I114" s="67" t="n">
        <x:f>IF(H114=0,0,IF(B114&lt;='今日の3件'!$C$5+7-WEEKDAY('今日の3件'!$C$5,2),C114,0))</x:f>
        <x:v>0</x:v>
      </x:c>
      <x:c r="J114" s="67" t="n">
        <x:f>IF(E114="入力確認",1,0)</x:f>
        <x:v>0</x:v>
      </x:c>
      <x:c r="K114" s="67" t="n">
        <x:f>IF(AND(A114&lt;&gt;"",D114="完了"),1,0)</x:f>
        <x:v>0</x:v>
      </x:c>
      <x:c r="L114" s="67" t="n">
        <x:f>IF(A114="",0,1)</x:f>
        <x:v>0</x:v>
      </x:c>
      <x:c r="M114" s="67" t="n">
        <x:f>IF(E114="期限超過",1,0)</x:f>
        <x:v>0</x:v>
      </x:c>
    </x:row>
    <x:row r="115" ht="28" customHeight="1">
      <x:c r="A115" s="62"/>
      <x:c r="B115" s="63"/>
      <x:c r="C115" s="65"/>
      <x:c r="D115" s="61"/>
      <x:c r="E115" s="49" t="str">
        <x:f>IF(A115="","",IF(D115="完了","完了",IF(AND(ISNUMBER(B115),B115&gt;=DATE(2000,1,1),B115&lt;=DATE(2100,12,31),ISNUMBER(C115),C115&gt;0,C115&lt;=100000,C115=INT(C115),OR(D115="未着手",D115="進行中")),IF(INT(B115)&lt;'今日の3件'!$C$5,"期限超過",IF(INT(B115)='今日の3件'!$C$5,"今日締切",IF(INT(B115)&lt;='今日の3件'!$C$5+3,"3日以内","これから"))),"入力確認")))</x:f>
      </x:c>
      <x:c r="F115" s="61"/>
      <x:c r="G115" s="66" t="n">
        <x:f>IF(OR(A115="",D115="完了",E115="入力確認"),999999999,INT(B115)*1000+ROW())</x:f>
        <x:v>999999999</x:v>
      </x:c>
      <x:c r="H115" s="66" t="n">
        <x:f>IF(G115=999999999,0,1)</x:f>
        <x:v>0</x:v>
      </x:c>
      <x:c r="I115" s="67" t="n">
        <x:f>IF(H115=0,0,IF(B115&lt;='今日の3件'!$C$5+7-WEEKDAY('今日の3件'!$C$5,2),C115,0))</x:f>
        <x:v>0</x:v>
      </x:c>
      <x:c r="J115" s="67" t="n">
        <x:f>IF(E115="入力確認",1,0)</x:f>
        <x:v>0</x:v>
      </x:c>
      <x:c r="K115" s="67" t="n">
        <x:f>IF(AND(A115&lt;&gt;"",D115="完了"),1,0)</x:f>
        <x:v>0</x:v>
      </x:c>
      <x:c r="L115" s="67" t="n">
        <x:f>IF(A115="",0,1)</x:f>
        <x:v>0</x:v>
      </x:c>
      <x:c r="M115" s="67" t="n">
        <x:f>IF(E115="期限超過",1,0)</x:f>
        <x:v>0</x:v>
      </x:c>
    </x:row>
    <x:row r="116" ht="28" customHeight="1">
      <x:c r="A116" s="62"/>
      <x:c r="B116" s="63"/>
      <x:c r="C116" s="65"/>
      <x:c r="D116" s="61"/>
      <x:c r="E116" s="49" t="str">
        <x:f>IF(A116="","",IF(D116="完了","完了",IF(AND(ISNUMBER(B116),B116&gt;=DATE(2000,1,1),B116&lt;=DATE(2100,12,31),ISNUMBER(C116),C116&gt;0,C116&lt;=100000,C116=INT(C116),OR(D116="未着手",D116="進行中")),IF(INT(B116)&lt;'今日の3件'!$C$5,"期限超過",IF(INT(B116)='今日の3件'!$C$5,"今日締切",IF(INT(B116)&lt;='今日の3件'!$C$5+3,"3日以内","これから"))),"入力確認")))</x:f>
      </x:c>
      <x:c r="F116" s="61"/>
      <x:c r="G116" s="66" t="n">
        <x:f>IF(OR(A116="",D116="完了",E116="入力確認"),999999999,INT(B116)*1000+ROW())</x:f>
        <x:v>999999999</x:v>
      </x:c>
      <x:c r="H116" s="66" t="n">
        <x:f>IF(G116=999999999,0,1)</x:f>
        <x:v>0</x:v>
      </x:c>
      <x:c r="I116" s="67" t="n">
        <x:f>IF(H116=0,0,IF(B116&lt;='今日の3件'!$C$5+7-WEEKDAY('今日の3件'!$C$5,2),C116,0))</x:f>
        <x:v>0</x:v>
      </x:c>
      <x:c r="J116" s="67" t="n">
        <x:f>IF(E116="入力確認",1,0)</x:f>
        <x:v>0</x:v>
      </x:c>
      <x:c r="K116" s="67" t="n">
        <x:f>IF(AND(A116&lt;&gt;"",D116="完了"),1,0)</x:f>
        <x:v>0</x:v>
      </x:c>
      <x:c r="L116" s="67" t="n">
        <x:f>IF(A116="",0,1)</x:f>
        <x:v>0</x:v>
      </x:c>
      <x:c r="M116" s="67" t="n">
        <x:f>IF(E116="期限超過",1,0)</x:f>
        <x:v>0</x:v>
      </x:c>
    </x:row>
    <x:row r="117" ht="28" customHeight="1">
      <x:c r="A117" s="62"/>
      <x:c r="B117" s="63"/>
      <x:c r="C117" s="65"/>
      <x:c r="D117" s="61"/>
      <x:c r="E117" s="49" t="str">
        <x:f>IF(A117="","",IF(D117="完了","完了",IF(AND(ISNUMBER(B117),B117&gt;=DATE(2000,1,1),B117&lt;=DATE(2100,12,31),ISNUMBER(C117),C117&gt;0,C117&lt;=100000,C117=INT(C117),OR(D117="未着手",D117="進行中")),IF(INT(B117)&lt;'今日の3件'!$C$5,"期限超過",IF(INT(B117)='今日の3件'!$C$5,"今日締切",IF(INT(B117)&lt;='今日の3件'!$C$5+3,"3日以内","これから"))),"入力確認")))</x:f>
      </x:c>
      <x:c r="F117" s="61"/>
      <x:c r="G117" s="66" t="n">
        <x:f>IF(OR(A117="",D117="完了",E117="入力確認"),999999999,INT(B117)*1000+ROW())</x:f>
        <x:v>999999999</x:v>
      </x:c>
      <x:c r="H117" s="66" t="n">
        <x:f>IF(G117=999999999,0,1)</x:f>
        <x:v>0</x:v>
      </x:c>
      <x:c r="I117" s="67" t="n">
        <x:f>IF(H117=0,0,IF(B117&lt;='今日の3件'!$C$5+7-WEEKDAY('今日の3件'!$C$5,2),C117,0))</x:f>
        <x:v>0</x:v>
      </x:c>
      <x:c r="J117" s="67" t="n">
        <x:f>IF(E117="入力確認",1,0)</x:f>
        <x:v>0</x:v>
      </x:c>
      <x:c r="K117" s="67" t="n">
        <x:f>IF(AND(A117&lt;&gt;"",D117="完了"),1,0)</x:f>
        <x:v>0</x:v>
      </x:c>
      <x:c r="L117" s="67" t="n">
        <x:f>IF(A117="",0,1)</x:f>
        <x:v>0</x:v>
      </x:c>
      <x:c r="M117" s="67" t="n">
        <x:f>IF(E117="期限超過",1,0)</x:f>
        <x:v>0</x:v>
      </x:c>
    </x:row>
    <x:row r="118" ht="28" customHeight="1">
      <x:c r="A118" s="62"/>
      <x:c r="B118" s="63"/>
      <x:c r="C118" s="65"/>
      <x:c r="D118" s="61"/>
      <x:c r="E118" s="49" t="str">
        <x:f>IF(A118="","",IF(D118="完了","完了",IF(AND(ISNUMBER(B118),B118&gt;=DATE(2000,1,1),B118&lt;=DATE(2100,12,31),ISNUMBER(C118),C118&gt;0,C118&lt;=100000,C118=INT(C118),OR(D118="未着手",D118="進行中")),IF(INT(B118)&lt;'今日の3件'!$C$5,"期限超過",IF(INT(B118)='今日の3件'!$C$5,"今日締切",IF(INT(B118)&lt;='今日の3件'!$C$5+3,"3日以内","これから"))),"入力確認")))</x:f>
      </x:c>
      <x:c r="F118" s="61"/>
      <x:c r="G118" s="66" t="n">
        <x:f>IF(OR(A118="",D118="完了",E118="入力確認"),999999999,INT(B118)*1000+ROW())</x:f>
        <x:v>999999999</x:v>
      </x:c>
      <x:c r="H118" s="66" t="n">
        <x:f>IF(G118=999999999,0,1)</x:f>
        <x:v>0</x:v>
      </x:c>
      <x:c r="I118" s="67" t="n">
        <x:f>IF(H118=0,0,IF(B118&lt;='今日の3件'!$C$5+7-WEEKDAY('今日の3件'!$C$5,2),C118,0))</x:f>
        <x:v>0</x:v>
      </x:c>
      <x:c r="J118" s="67" t="n">
        <x:f>IF(E118="入力確認",1,0)</x:f>
        <x:v>0</x:v>
      </x:c>
      <x:c r="K118" s="67" t="n">
        <x:f>IF(AND(A118&lt;&gt;"",D118="完了"),1,0)</x:f>
        <x:v>0</x:v>
      </x:c>
      <x:c r="L118" s="67" t="n">
        <x:f>IF(A118="",0,1)</x:f>
        <x:v>0</x:v>
      </x:c>
      <x:c r="M118" s="67" t="n">
        <x:f>IF(E118="期限超過",1,0)</x:f>
        <x:v>0</x:v>
      </x:c>
    </x:row>
    <x:row r="119" ht="28" customHeight="1">
      <x:c r="A119" s="62"/>
      <x:c r="B119" s="63"/>
      <x:c r="C119" s="65"/>
      <x:c r="D119" s="61"/>
      <x:c r="E119" s="49" t="str">
        <x:f>IF(A119="","",IF(D119="完了","完了",IF(AND(ISNUMBER(B119),B119&gt;=DATE(2000,1,1),B119&lt;=DATE(2100,12,31),ISNUMBER(C119),C119&gt;0,C119&lt;=100000,C119=INT(C119),OR(D119="未着手",D119="進行中")),IF(INT(B119)&lt;'今日の3件'!$C$5,"期限超過",IF(INT(B119)='今日の3件'!$C$5,"今日締切",IF(INT(B119)&lt;='今日の3件'!$C$5+3,"3日以内","これから"))),"入力確認")))</x:f>
      </x:c>
      <x:c r="F119" s="61"/>
      <x:c r="G119" s="66" t="n">
        <x:f>IF(OR(A119="",D119="完了",E119="入力確認"),999999999,INT(B119)*1000+ROW())</x:f>
        <x:v>999999999</x:v>
      </x:c>
      <x:c r="H119" s="66" t="n">
        <x:f>IF(G119=999999999,0,1)</x:f>
        <x:v>0</x:v>
      </x:c>
      <x:c r="I119" s="67" t="n">
        <x:f>IF(H119=0,0,IF(B119&lt;='今日の3件'!$C$5+7-WEEKDAY('今日の3件'!$C$5,2),C119,0))</x:f>
        <x:v>0</x:v>
      </x:c>
      <x:c r="J119" s="67" t="n">
        <x:f>IF(E119="入力確認",1,0)</x:f>
        <x:v>0</x:v>
      </x:c>
      <x:c r="K119" s="67" t="n">
        <x:f>IF(AND(A119&lt;&gt;"",D119="完了"),1,0)</x:f>
        <x:v>0</x:v>
      </x:c>
      <x:c r="L119" s="67" t="n">
        <x:f>IF(A119="",0,1)</x:f>
        <x:v>0</x:v>
      </x:c>
      <x:c r="M119" s="67" t="n">
        <x:f>IF(E119="期限超過",1,0)</x:f>
        <x:v>0</x:v>
      </x:c>
    </x:row>
    <x:row r="120" ht="28" customHeight="1">
      <x:c r="A120" s="62"/>
      <x:c r="B120" s="63"/>
      <x:c r="C120" s="65"/>
      <x:c r="D120" s="61"/>
      <x:c r="E120" s="49" t="str">
        <x:f>IF(A120="","",IF(D120="完了","完了",IF(AND(ISNUMBER(B120),B120&gt;=DATE(2000,1,1),B120&lt;=DATE(2100,12,31),ISNUMBER(C120),C120&gt;0,C120&lt;=100000,C120=INT(C120),OR(D120="未着手",D120="進行中")),IF(INT(B120)&lt;'今日の3件'!$C$5,"期限超過",IF(INT(B120)='今日の3件'!$C$5,"今日締切",IF(INT(B120)&lt;='今日の3件'!$C$5+3,"3日以内","これから"))),"入力確認")))</x:f>
      </x:c>
      <x:c r="F120" s="61"/>
      <x:c r="G120" s="66" t="n">
        <x:f>IF(OR(A120="",D120="完了",E120="入力確認"),999999999,INT(B120)*1000+ROW())</x:f>
        <x:v>999999999</x:v>
      </x:c>
      <x:c r="H120" s="66" t="n">
        <x:f>IF(G120=999999999,0,1)</x:f>
        <x:v>0</x:v>
      </x:c>
      <x:c r="I120" s="67" t="n">
        <x:f>IF(H120=0,0,IF(B120&lt;='今日の3件'!$C$5+7-WEEKDAY('今日の3件'!$C$5,2),C120,0))</x:f>
        <x:v>0</x:v>
      </x:c>
      <x:c r="J120" s="67" t="n">
        <x:f>IF(E120="入力確認",1,0)</x:f>
        <x:v>0</x:v>
      </x:c>
      <x:c r="K120" s="67" t="n">
        <x:f>IF(AND(A120&lt;&gt;"",D120="完了"),1,0)</x:f>
        <x:v>0</x:v>
      </x:c>
      <x:c r="L120" s="67" t="n">
        <x:f>IF(A120="",0,1)</x:f>
        <x:v>0</x:v>
      </x:c>
      <x:c r="M120" s="67" t="n">
        <x:f>IF(E120="期限超過",1,0)</x:f>
        <x:v>0</x:v>
      </x:c>
    </x:row>
    <x:row r="121" ht="28" customHeight="1">
      <x:c r="A121" s="62"/>
      <x:c r="B121" s="63"/>
      <x:c r="C121" s="65"/>
      <x:c r="D121" s="61"/>
      <x:c r="E121" s="49" t="str">
        <x:f>IF(A121="","",IF(D121="完了","完了",IF(AND(ISNUMBER(B121),B121&gt;=DATE(2000,1,1),B121&lt;=DATE(2100,12,31),ISNUMBER(C121),C121&gt;0,C121&lt;=100000,C121=INT(C121),OR(D121="未着手",D121="進行中")),IF(INT(B121)&lt;'今日の3件'!$C$5,"期限超過",IF(INT(B121)='今日の3件'!$C$5,"今日締切",IF(INT(B121)&lt;='今日の3件'!$C$5+3,"3日以内","これから"))),"入力確認")))</x:f>
      </x:c>
      <x:c r="F121" s="61"/>
      <x:c r="G121" s="66" t="n">
        <x:f>IF(OR(A121="",D121="完了",E121="入力確認"),999999999,INT(B121)*1000+ROW())</x:f>
        <x:v>999999999</x:v>
      </x:c>
      <x:c r="H121" s="66" t="n">
        <x:f>IF(G121=999999999,0,1)</x:f>
        <x:v>0</x:v>
      </x:c>
      <x:c r="I121" s="67" t="n">
        <x:f>IF(H121=0,0,IF(B121&lt;='今日の3件'!$C$5+7-WEEKDAY('今日の3件'!$C$5,2),C121,0))</x:f>
        <x:v>0</x:v>
      </x:c>
      <x:c r="J121" s="67" t="n">
        <x:f>IF(E121="入力確認",1,0)</x:f>
        <x:v>0</x:v>
      </x:c>
      <x:c r="K121" s="67" t="n">
        <x:f>IF(AND(A121&lt;&gt;"",D121="完了"),1,0)</x:f>
        <x:v>0</x:v>
      </x:c>
      <x:c r="L121" s="67" t="n">
        <x:f>IF(A121="",0,1)</x:f>
        <x:v>0</x:v>
      </x:c>
      <x:c r="M121" s="67" t="n">
        <x:f>IF(E121="期限超過",1,0)</x:f>
        <x:v>0</x:v>
      </x:c>
    </x:row>
    <x:row r="122" ht="28" customHeight="1">
      <x:c r="A122" s="62"/>
      <x:c r="B122" s="63"/>
      <x:c r="C122" s="65"/>
      <x:c r="D122" s="61"/>
      <x:c r="E122" s="49" t="str">
        <x:f>IF(A122="","",IF(D122="完了","完了",IF(AND(ISNUMBER(B122),B122&gt;=DATE(2000,1,1),B122&lt;=DATE(2100,12,31),ISNUMBER(C122),C122&gt;0,C122&lt;=100000,C122=INT(C122),OR(D122="未着手",D122="進行中")),IF(INT(B122)&lt;'今日の3件'!$C$5,"期限超過",IF(INT(B122)='今日の3件'!$C$5,"今日締切",IF(INT(B122)&lt;='今日の3件'!$C$5+3,"3日以内","これから"))),"入力確認")))</x:f>
      </x:c>
      <x:c r="F122" s="61"/>
      <x:c r="G122" s="66" t="n">
        <x:f>IF(OR(A122="",D122="完了",E122="入力確認"),999999999,INT(B122)*1000+ROW())</x:f>
        <x:v>999999999</x:v>
      </x:c>
      <x:c r="H122" s="66" t="n">
        <x:f>IF(G122=999999999,0,1)</x:f>
        <x:v>0</x:v>
      </x:c>
      <x:c r="I122" s="67" t="n">
        <x:f>IF(H122=0,0,IF(B122&lt;='今日の3件'!$C$5+7-WEEKDAY('今日の3件'!$C$5,2),C122,0))</x:f>
        <x:v>0</x:v>
      </x:c>
      <x:c r="J122" s="67" t="n">
        <x:f>IF(E122="入力確認",1,0)</x:f>
        <x:v>0</x:v>
      </x:c>
      <x:c r="K122" s="67" t="n">
        <x:f>IF(AND(A122&lt;&gt;"",D122="完了"),1,0)</x:f>
        <x:v>0</x:v>
      </x:c>
      <x:c r="L122" s="67" t="n">
        <x:f>IF(A122="",0,1)</x:f>
        <x:v>0</x:v>
      </x:c>
      <x:c r="M122" s="67" t="n">
        <x:f>IF(E122="期限超過",1,0)</x:f>
        <x:v>0</x:v>
      </x:c>
    </x:row>
    <x:row r="123" ht="28" customHeight="1">
      <x:c r="A123" s="62"/>
      <x:c r="B123" s="63"/>
      <x:c r="C123" s="65"/>
      <x:c r="D123" s="61"/>
      <x:c r="E123" s="49" t="str">
        <x:f>IF(A123="","",IF(D123="完了","完了",IF(AND(ISNUMBER(B123),B123&gt;=DATE(2000,1,1),B123&lt;=DATE(2100,12,31),ISNUMBER(C123),C123&gt;0,C123&lt;=100000,C123=INT(C123),OR(D123="未着手",D123="進行中")),IF(INT(B123)&lt;'今日の3件'!$C$5,"期限超過",IF(INT(B123)='今日の3件'!$C$5,"今日締切",IF(INT(B123)&lt;='今日の3件'!$C$5+3,"3日以内","これから"))),"入力確認")))</x:f>
      </x:c>
      <x:c r="F123" s="61"/>
      <x:c r="G123" s="66" t="n">
        <x:f>IF(OR(A123="",D123="完了",E123="入力確認"),999999999,INT(B123)*1000+ROW())</x:f>
        <x:v>999999999</x:v>
      </x:c>
      <x:c r="H123" s="66" t="n">
        <x:f>IF(G123=999999999,0,1)</x:f>
        <x:v>0</x:v>
      </x:c>
      <x:c r="I123" s="67" t="n">
        <x:f>IF(H123=0,0,IF(B123&lt;='今日の3件'!$C$5+7-WEEKDAY('今日の3件'!$C$5,2),C123,0))</x:f>
        <x:v>0</x:v>
      </x:c>
      <x:c r="J123" s="67" t="n">
        <x:f>IF(E123="入力確認",1,0)</x:f>
        <x:v>0</x:v>
      </x:c>
      <x:c r="K123" s="67" t="n">
        <x:f>IF(AND(A123&lt;&gt;"",D123="完了"),1,0)</x:f>
        <x:v>0</x:v>
      </x:c>
      <x:c r="L123" s="67" t="n">
        <x:f>IF(A123="",0,1)</x:f>
        <x:v>0</x:v>
      </x:c>
      <x:c r="M123" s="67" t="n">
        <x:f>IF(E123="期限超過",1,0)</x:f>
        <x:v>0</x:v>
      </x:c>
    </x:row>
    <x:row r="124" ht="28" customHeight="1">
      <x:c r="A124" s="62"/>
      <x:c r="B124" s="63"/>
      <x:c r="C124" s="65"/>
      <x:c r="D124" s="61"/>
      <x:c r="E124" s="49" t="str">
        <x:f>IF(A124="","",IF(D124="完了","完了",IF(AND(ISNUMBER(B124),B124&gt;=DATE(2000,1,1),B124&lt;=DATE(2100,12,31),ISNUMBER(C124),C124&gt;0,C124&lt;=100000,C124=INT(C124),OR(D124="未着手",D124="進行中")),IF(INT(B124)&lt;'今日の3件'!$C$5,"期限超過",IF(INT(B124)='今日の3件'!$C$5,"今日締切",IF(INT(B124)&lt;='今日の3件'!$C$5+3,"3日以内","これから"))),"入力確認")))</x:f>
      </x:c>
      <x:c r="F124" s="61"/>
      <x:c r="G124" s="66" t="n">
        <x:f>IF(OR(A124="",D124="完了",E124="入力確認"),999999999,INT(B124)*1000+ROW())</x:f>
        <x:v>999999999</x:v>
      </x:c>
      <x:c r="H124" s="66" t="n">
        <x:f>IF(G124=999999999,0,1)</x:f>
        <x:v>0</x:v>
      </x:c>
      <x:c r="I124" s="67" t="n">
        <x:f>IF(H124=0,0,IF(B124&lt;='今日の3件'!$C$5+7-WEEKDAY('今日の3件'!$C$5,2),C124,0))</x:f>
        <x:v>0</x:v>
      </x:c>
      <x:c r="J124" s="67" t="n">
        <x:f>IF(E124="入力確認",1,0)</x:f>
        <x:v>0</x:v>
      </x:c>
      <x:c r="K124" s="67" t="n">
        <x:f>IF(AND(A124&lt;&gt;"",D124="完了"),1,0)</x:f>
        <x:v>0</x:v>
      </x:c>
      <x:c r="L124" s="67" t="n">
        <x:f>IF(A124="",0,1)</x:f>
        <x:v>0</x:v>
      </x:c>
      <x:c r="M124" s="67" t="n">
        <x:f>IF(E124="期限超過",1,0)</x:f>
        <x:v>0</x:v>
      </x:c>
    </x:row>
    <x:row r="125" ht="28" customHeight="1">
      <x:c r="A125" s="62"/>
      <x:c r="B125" s="63"/>
      <x:c r="C125" s="65"/>
      <x:c r="D125" s="61"/>
      <x:c r="E125" s="49" t="str">
        <x:f>IF(A125="","",IF(D125="完了","完了",IF(AND(ISNUMBER(B125),B125&gt;=DATE(2000,1,1),B125&lt;=DATE(2100,12,31),ISNUMBER(C125),C125&gt;0,C125&lt;=100000,C125=INT(C125),OR(D125="未着手",D125="進行中")),IF(INT(B125)&lt;'今日の3件'!$C$5,"期限超過",IF(INT(B125)='今日の3件'!$C$5,"今日締切",IF(INT(B125)&lt;='今日の3件'!$C$5+3,"3日以内","これから"))),"入力確認")))</x:f>
      </x:c>
      <x:c r="F125" s="61"/>
      <x:c r="G125" s="66" t="n">
        <x:f>IF(OR(A125="",D125="完了",E125="入力確認"),999999999,INT(B125)*1000+ROW())</x:f>
        <x:v>999999999</x:v>
      </x:c>
      <x:c r="H125" s="66" t="n">
        <x:f>IF(G125=999999999,0,1)</x:f>
        <x:v>0</x:v>
      </x:c>
      <x:c r="I125" s="67" t="n">
        <x:f>IF(H125=0,0,IF(B125&lt;='今日の3件'!$C$5+7-WEEKDAY('今日の3件'!$C$5,2),C125,0))</x:f>
        <x:v>0</x:v>
      </x:c>
      <x:c r="J125" s="67" t="n">
        <x:f>IF(E125="入力確認",1,0)</x:f>
        <x:v>0</x:v>
      </x:c>
      <x:c r="K125" s="67" t="n">
        <x:f>IF(AND(A125&lt;&gt;"",D125="完了"),1,0)</x:f>
        <x:v>0</x:v>
      </x:c>
      <x:c r="L125" s="67" t="n">
        <x:f>IF(A125="",0,1)</x:f>
        <x:v>0</x:v>
      </x:c>
      <x:c r="M125" s="67" t="n">
        <x:f>IF(E125="期限超過",1,0)</x:f>
        <x:v>0</x:v>
      </x:c>
    </x:row>
    <x:row r="126" ht="28" customHeight="1">
      <x:c r="A126" s="62"/>
      <x:c r="B126" s="63"/>
      <x:c r="C126" s="65"/>
      <x:c r="D126" s="61"/>
      <x:c r="E126" s="49" t="str">
        <x:f>IF(A126="","",IF(D126="完了","完了",IF(AND(ISNUMBER(B126),B126&gt;=DATE(2000,1,1),B126&lt;=DATE(2100,12,31),ISNUMBER(C126),C126&gt;0,C126&lt;=100000,C126=INT(C126),OR(D126="未着手",D126="進行中")),IF(INT(B126)&lt;'今日の3件'!$C$5,"期限超過",IF(INT(B126)='今日の3件'!$C$5,"今日締切",IF(INT(B126)&lt;='今日の3件'!$C$5+3,"3日以内","これから"))),"入力確認")))</x:f>
      </x:c>
      <x:c r="F126" s="61"/>
      <x:c r="G126" s="66" t="n">
        <x:f>IF(OR(A126="",D126="完了",E126="入力確認"),999999999,INT(B126)*1000+ROW())</x:f>
        <x:v>999999999</x:v>
      </x:c>
      <x:c r="H126" s="66" t="n">
        <x:f>IF(G126=999999999,0,1)</x:f>
        <x:v>0</x:v>
      </x:c>
      <x:c r="I126" s="67" t="n">
        <x:f>IF(H126=0,0,IF(B126&lt;='今日の3件'!$C$5+7-WEEKDAY('今日の3件'!$C$5,2),C126,0))</x:f>
        <x:v>0</x:v>
      </x:c>
      <x:c r="J126" s="67" t="n">
        <x:f>IF(E126="入力確認",1,0)</x:f>
        <x:v>0</x:v>
      </x:c>
      <x:c r="K126" s="67" t="n">
        <x:f>IF(AND(A126&lt;&gt;"",D126="完了"),1,0)</x:f>
        <x:v>0</x:v>
      </x:c>
      <x:c r="L126" s="67" t="n">
        <x:f>IF(A126="",0,1)</x:f>
        <x:v>0</x:v>
      </x:c>
      <x:c r="M126" s="67" t="n">
        <x:f>IF(E126="期限超過",1,0)</x:f>
        <x:v>0</x:v>
      </x:c>
    </x:row>
    <x:row r="127" ht="28" customHeight="1">
      <x:c r="A127" s="62"/>
      <x:c r="B127" s="63"/>
      <x:c r="C127" s="65"/>
      <x:c r="D127" s="61"/>
      <x:c r="E127" s="49" t="str">
        <x:f>IF(A127="","",IF(D127="完了","完了",IF(AND(ISNUMBER(B127),B127&gt;=DATE(2000,1,1),B127&lt;=DATE(2100,12,31),ISNUMBER(C127),C127&gt;0,C127&lt;=100000,C127=INT(C127),OR(D127="未着手",D127="進行中")),IF(INT(B127)&lt;'今日の3件'!$C$5,"期限超過",IF(INT(B127)='今日の3件'!$C$5,"今日締切",IF(INT(B127)&lt;='今日の3件'!$C$5+3,"3日以内","これから"))),"入力確認")))</x:f>
      </x:c>
      <x:c r="F127" s="61"/>
      <x:c r="G127" s="66" t="n">
        <x:f>IF(OR(A127="",D127="完了",E127="入力確認"),999999999,INT(B127)*1000+ROW())</x:f>
        <x:v>999999999</x:v>
      </x:c>
      <x:c r="H127" s="66" t="n">
        <x:f>IF(G127=999999999,0,1)</x:f>
        <x:v>0</x:v>
      </x:c>
      <x:c r="I127" s="67" t="n">
        <x:f>IF(H127=0,0,IF(B127&lt;='今日の3件'!$C$5+7-WEEKDAY('今日の3件'!$C$5,2),C127,0))</x:f>
        <x:v>0</x:v>
      </x:c>
      <x:c r="J127" s="67" t="n">
        <x:f>IF(E127="入力確認",1,0)</x:f>
        <x:v>0</x:v>
      </x:c>
      <x:c r="K127" s="67" t="n">
        <x:f>IF(AND(A127&lt;&gt;"",D127="完了"),1,0)</x:f>
        <x:v>0</x:v>
      </x:c>
      <x:c r="L127" s="67" t="n">
        <x:f>IF(A127="",0,1)</x:f>
        <x:v>0</x:v>
      </x:c>
      <x:c r="M127" s="67" t="n">
        <x:f>IF(E127="期限超過",1,0)</x:f>
        <x:v>0</x:v>
      </x:c>
    </x:row>
    <x:row r="128" ht="28" customHeight="1">
      <x:c r="A128" s="62"/>
      <x:c r="B128" s="63"/>
      <x:c r="C128" s="65"/>
      <x:c r="D128" s="61"/>
      <x:c r="E128" s="49" t="str">
        <x:f>IF(A128="","",IF(D128="完了","完了",IF(AND(ISNUMBER(B128),B128&gt;=DATE(2000,1,1),B128&lt;=DATE(2100,12,31),ISNUMBER(C128),C128&gt;0,C128&lt;=100000,C128=INT(C128),OR(D128="未着手",D128="進行中")),IF(INT(B128)&lt;'今日の3件'!$C$5,"期限超過",IF(INT(B128)='今日の3件'!$C$5,"今日締切",IF(INT(B128)&lt;='今日の3件'!$C$5+3,"3日以内","これから"))),"入力確認")))</x:f>
      </x:c>
      <x:c r="F128" s="61"/>
      <x:c r="G128" s="66" t="n">
        <x:f>IF(OR(A128="",D128="完了",E128="入力確認"),999999999,INT(B128)*1000+ROW())</x:f>
        <x:v>999999999</x:v>
      </x:c>
      <x:c r="H128" s="66" t="n">
        <x:f>IF(G128=999999999,0,1)</x:f>
        <x:v>0</x:v>
      </x:c>
      <x:c r="I128" s="67" t="n">
        <x:f>IF(H128=0,0,IF(B128&lt;='今日の3件'!$C$5+7-WEEKDAY('今日の3件'!$C$5,2),C128,0))</x:f>
        <x:v>0</x:v>
      </x:c>
      <x:c r="J128" s="67" t="n">
        <x:f>IF(E128="入力確認",1,0)</x:f>
        <x:v>0</x:v>
      </x:c>
      <x:c r="K128" s="67" t="n">
        <x:f>IF(AND(A128&lt;&gt;"",D128="完了"),1,0)</x:f>
        <x:v>0</x:v>
      </x:c>
      <x:c r="L128" s="67" t="n">
        <x:f>IF(A128="",0,1)</x:f>
        <x:v>0</x:v>
      </x:c>
      <x:c r="M128" s="67" t="n">
        <x:f>IF(E128="期限超過",1,0)</x:f>
        <x:v>0</x:v>
      </x:c>
    </x:row>
    <x:row r="129" ht="28" customHeight="1">
      <x:c r="A129" s="62"/>
      <x:c r="B129" s="63"/>
      <x:c r="C129" s="65"/>
      <x:c r="D129" s="61"/>
      <x:c r="E129" s="49" t="str">
        <x:f>IF(A129="","",IF(D129="完了","完了",IF(AND(ISNUMBER(B129),B129&gt;=DATE(2000,1,1),B129&lt;=DATE(2100,12,31),ISNUMBER(C129),C129&gt;0,C129&lt;=100000,C129=INT(C129),OR(D129="未着手",D129="進行中")),IF(INT(B129)&lt;'今日の3件'!$C$5,"期限超過",IF(INT(B129)='今日の3件'!$C$5,"今日締切",IF(INT(B129)&lt;='今日の3件'!$C$5+3,"3日以内","これから"))),"入力確認")))</x:f>
      </x:c>
      <x:c r="F129" s="61"/>
      <x:c r="G129" s="66" t="n">
        <x:f>IF(OR(A129="",D129="完了",E129="入力確認"),999999999,INT(B129)*1000+ROW())</x:f>
        <x:v>999999999</x:v>
      </x:c>
      <x:c r="H129" s="66" t="n">
        <x:f>IF(G129=999999999,0,1)</x:f>
        <x:v>0</x:v>
      </x:c>
      <x:c r="I129" s="67" t="n">
        <x:f>IF(H129=0,0,IF(B129&lt;='今日の3件'!$C$5+7-WEEKDAY('今日の3件'!$C$5,2),C129,0))</x:f>
        <x:v>0</x:v>
      </x:c>
      <x:c r="J129" s="67" t="n">
        <x:f>IF(E129="入力確認",1,0)</x:f>
        <x:v>0</x:v>
      </x:c>
      <x:c r="K129" s="67" t="n">
        <x:f>IF(AND(A129&lt;&gt;"",D129="完了"),1,0)</x:f>
        <x:v>0</x:v>
      </x:c>
      <x:c r="L129" s="67" t="n">
        <x:f>IF(A129="",0,1)</x:f>
        <x:v>0</x:v>
      </x:c>
      <x:c r="M129" s="67" t="n">
        <x:f>IF(E129="期限超過",1,0)</x:f>
        <x:v>0</x:v>
      </x:c>
    </x:row>
    <x:row r="130" ht="28" customHeight="1">
      <x:c r="A130" s="62"/>
      <x:c r="B130" s="63"/>
      <x:c r="C130" s="65"/>
      <x:c r="D130" s="61"/>
      <x:c r="E130" s="49" t="str">
        <x:f>IF(A130="","",IF(D130="完了","完了",IF(AND(ISNUMBER(B130),B130&gt;=DATE(2000,1,1),B130&lt;=DATE(2100,12,31),ISNUMBER(C130),C130&gt;0,C130&lt;=100000,C130=INT(C130),OR(D130="未着手",D130="進行中")),IF(INT(B130)&lt;'今日の3件'!$C$5,"期限超過",IF(INT(B130)='今日の3件'!$C$5,"今日締切",IF(INT(B130)&lt;='今日の3件'!$C$5+3,"3日以内","これから"))),"入力確認")))</x:f>
      </x:c>
      <x:c r="F130" s="61"/>
      <x:c r="G130" s="66" t="n">
        <x:f>IF(OR(A130="",D130="完了",E130="入力確認"),999999999,INT(B130)*1000+ROW())</x:f>
        <x:v>999999999</x:v>
      </x:c>
      <x:c r="H130" s="66" t="n">
        <x:f>IF(G130=999999999,0,1)</x:f>
        <x:v>0</x:v>
      </x:c>
      <x:c r="I130" s="67" t="n">
        <x:f>IF(H130=0,0,IF(B130&lt;='今日の3件'!$C$5+7-WEEKDAY('今日の3件'!$C$5,2),C130,0))</x:f>
        <x:v>0</x:v>
      </x:c>
      <x:c r="J130" s="67" t="n">
        <x:f>IF(E130="入力確認",1,0)</x:f>
        <x:v>0</x:v>
      </x:c>
      <x:c r="K130" s="67" t="n">
        <x:f>IF(AND(A130&lt;&gt;"",D130="完了"),1,0)</x:f>
        <x:v>0</x:v>
      </x:c>
      <x:c r="L130" s="67" t="n">
        <x:f>IF(A130="",0,1)</x:f>
        <x:v>0</x:v>
      </x:c>
      <x:c r="M130" s="67" t="n">
        <x:f>IF(E130="期限超過",1,0)</x:f>
        <x:v>0</x:v>
      </x:c>
    </x:row>
    <x:row r="131" ht="28" customHeight="1">
      <x:c r="A131" s="62"/>
      <x:c r="B131" s="63"/>
      <x:c r="C131" s="65"/>
      <x:c r="D131" s="61"/>
      <x:c r="E131" s="49" t="str">
        <x:f>IF(A131="","",IF(D131="完了","完了",IF(AND(ISNUMBER(B131),B131&gt;=DATE(2000,1,1),B131&lt;=DATE(2100,12,31),ISNUMBER(C131),C131&gt;0,C131&lt;=100000,C131=INT(C131),OR(D131="未着手",D131="進行中")),IF(INT(B131)&lt;'今日の3件'!$C$5,"期限超過",IF(INT(B131)='今日の3件'!$C$5,"今日締切",IF(INT(B131)&lt;='今日の3件'!$C$5+3,"3日以内","これから"))),"入力確認")))</x:f>
      </x:c>
      <x:c r="F131" s="61"/>
      <x:c r="G131" s="66" t="n">
        <x:f>IF(OR(A131="",D131="完了",E131="入力確認"),999999999,INT(B131)*1000+ROW())</x:f>
        <x:v>999999999</x:v>
      </x:c>
      <x:c r="H131" s="66" t="n">
        <x:f>IF(G131=999999999,0,1)</x:f>
        <x:v>0</x:v>
      </x:c>
      <x:c r="I131" s="67" t="n">
        <x:f>IF(H131=0,0,IF(B131&lt;='今日の3件'!$C$5+7-WEEKDAY('今日の3件'!$C$5,2),C131,0))</x:f>
        <x:v>0</x:v>
      </x:c>
      <x:c r="J131" s="67" t="n">
        <x:f>IF(E131="入力確認",1,0)</x:f>
        <x:v>0</x:v>
      </x:c>
      <x:c r="K131" s="67" t="n">
        <x:f>IF(AND(A131&lt;&gt;"",D131="完了"),1,0)</x:f>
        <x:v>0</x:v>
      </x:c>
      <x:c r="L131" s="67" t="n">
        <x:f>IF(A131="",0,1)</x:f>
        <x:v>0</x:v>
      </x:c>
      <x:c r="M131" s="67" t="n">
        <x:f>IF(E131="期限超過",1,0)</x:f>
        <x:v>0</x:v>
      </x:c>
    </x:row>
    <x:row r="132" ht="28" customHeight="1">
      <x:c r="A132" s="62"/>
      <x:c r="B132" s="63"/>
      <x:c r="C132" s="65"/>
      <x:c r="D132" s="61"/>
      <x:c r="E132" s="49" t="str">
        <x:f>IF(A132="","",IF(D132="完了","完了",IF(AND(ISNUMBER(B132),B132&gt;=DATE(2000,1,1),B132&lt;=DATE(2100,12,31),ISNUMBER(C132),C132&gt;0,C132&lt;=100000,C132=INT(C132),OR(D132="未着手",D132="進行中")),IF(INT(B132)&lt;'今日の3件'!$C$5,"期限超過",IF(INT(B132)='今日の3件'!$C$5,"今日締切",IF(INT(B132)&lt;='今日の3件'!$C$5+3,"3日以内","これから"))),"入力確認")))</x:f>
      </x:c>
      <x:c r="F132" s="61"/>
      <x:c r="G132" s="66" t="n">
        <x:f>IF(OR(A132="",D132="完了",E132="入力確認"),999999999,INT(B132)*1000+ROW())</x:f>
        <x:v>999999999</x:v>
      </x:c>
      <x:c r="H132" s="66" t="n">
        <x:f>IF(G132=999999999,0,1)</x:f>
        <x:v>0</x:v>
      </x:c>
      <x:c r="I132" s="67" t="n">
        <x:f>IF(H132=0,0,IF(B132&lt;='今日の3件'!$C$5+7-WEEKDAY('今日の3件'!$C$5,2),C132,0))</x:f>
        <x:v>0</x:v>
      </x:c>
      <x:c r="J132" s="67" t="n">
        <x:f>IF(E132="入力確認",1,0)</x:f>
        <x:v>0</x:v>
      </x:c>
      <x:c r="K132" s="67" t="n">
        <x:f>IF(AND(A132&lt;&gt;"",D132="完了"),1,0)</x:f>
        <x:v>0</x:v>
      </x:c>
      <x:c r="L132" s="67" t="n">
        <x:f>IF(A132="",0,1)</x:f>
        <x:v>0</x:v>
      </x:c>
      <x:c r="M132" s="67" t="n">
        <x:f>IF(E132="期限超過",1,0)</x:f>
        <x:v>0</x:v>
      </x:c>
    </x:row>
    <x:row r="133" ht="28" customHeight="1">
      <x:c r="A133" s="62"/>
      <x:c r="B133" s="63"/>
      <x:c r="C133" s="65"/>
      <x:c r="D133" s="61"/>
      <x:c r="E133" s="49" t="str">
        <x:f>IF(A133="","",IF(D133="完了","完了",IF(AND(ISNUMBER(B133),B133&gt;=DATE(2000,1,1),B133&lt;=DATE(2100,12,31),ISNUMBER(C133),C133&gt;0,C133&lt;=100000,C133=INT(C133),OR(D133="未着手",D133="進行中")),IF(INT(B133)&lt;'今日の3件'!$C$5,"期限超過",IF(INT(B133)='今日の3件'!$C$5,"今日締切",IF(INT(B133)&lt;='今日の3件'!$C$5+3,"3日以内","これから"))),"入力確認")))</x:f>
      </x:c>
      <x:c r="F133" s="61"/>
      <x:c r="G133" s="66" t="n">
        <x:f>IF(OR(A133="",D133="完了",E133="入力確認"),999999999,INT(B133)*1000+ROW())</x:f>
        <x:v>999999999</x:v>
      </x:c>
      <x:c r="H133" s="66" t="n">
        <x:f>IF(G133=999999999,0,1)</x:f>
        <x:v>0</x:v>
      </x:c>
      <x:c r="I133" s="67" t="n">
        <x:f>IF(H133=0,0,IF(B133&lt;='今日の3件'!$C$5+7-WEEKDAY('今日の3件'!$C$5,2),C133,0))</x:f>
        <x:v>0</x:v>
      </x:c>
      <x:c r="J133" s="67" t="n">
        <x:f>IF(E133="入力確認",1,0)</x:f>
        <x:v>0</x:v>
      </x:c>
      <x:c r="K133" s="67" t="n">
        <x:f>IF(AND(A133&lt;&gt;"",D133="完了"),1,0)</x:f>
        <x:v>0</x:v>
      </x:c>
      <x:c r="L133" s="67" t="n">
        <x:f>IF(A133="",0,1)</x:f>
        <x:v>0</x:v>
      </x:c>
      <x:c r="M133" s="67" t="n">
        <x:f>IF(E133="期限超過",1,0)</x:f>
        <x:v>0</x:v>
      </x:c>
    </x:row>
    <x:row r="134" ht="28" customHeight="1">
      <x:c r="A134" s="62"/>
      <x:c r="B134" s="63"/>
      <x:c r="C134" s="65"/>
      <x:c r="D134" s="61"/>
      <x:c r="E134" s="49" t="str">
        <x:f>IF(A134="","",IF(D134="完了","完了",IF(AND(ISNUMBER(B134),B134&gt;=DATE(2000,1,1),B134&lt;=DATE(2100,12,31),ISNUMBER(C134),C134&gt;0,C134&lt;=100000,C134=INT(C134),OR(D134="未着手",D134="進行中")),IF(INT(B134)&lt;'今日の3件'!$C$5,"期限超過",IF(INT(B134)='今日の3件'!$C$5,"今日締切",IF(INT(B134)&lt;='今日の3件'!$C$5+3,"3日以内","これから"))),"入力確認")))</x:f>
      </x:c>
      <x:c r="F134" s="61"/>
      <x:c r="G134" s="66" t="n">
        <x:f>IF(OR(A134="",D134="完了",E134="入力確認"),999999999,INT(B134)*1000+ROW())</x:f>
        <x:v>999999999</x:v>
      </x:c>
      <x:c r="H134" s="66" t="n">
        <x:f>IF(G134=999999999,0,1)</x:f>
        <x:v>0</x:v>
      </x:c>
      <x:c r="I134" s="67" t="n">
        <x:f>IF(H134=0,0,IF(B134&lt;='今日の3件'!$C$5+7-WEEKDAY('今日の3件'!$C$5,2),C134,0))</x:f>
        <x:v>0</x:v>
      </x:c>
      <x:c r="J134" s="67" t="n">
        <x:f>IF(E134="入力確認",1,0)</x:f>
        <x:v>0</x:v>
      </x:c>
      <x:c r="K134" s="67" t="n">
        <x:f>IF(AND(A134&lt;&gt;"",D134="完了"),1,0)</x:f>
        <x:v>0</x:v>
      </x:c>
      <x:c r="L134" s="67" t="n">
        <x:f>IF(A134="",0,1)</x:f>
        <x:v>0</x:v>
      </x:c>
      <x:c r="M134" s="67" t="n">
        <x:f>IF(E134="期限超過",1,0)</x:f>
        <x:v>0</x:v>
      </x:c>
    </x:row>
    <x:row r="135" ht="28" customHeight="1">
      <x:c r="A135" s="62"/>
      <x:c r="B135" s="63"/>
      <x:c r="C135" s="65"/>
      <x:c r="D135" s="61"/>
      <x:c r="E135" s="49" t="str">
        <x:f>IF(A135="","",IF(D135="完了","完了",IF(AND(ISNUMBER(B135),B135&gt;=DATE(2000,1,1),B135&lt;=DATE(2100,12,31),ISNUMBER(C135),C135&gt;0,C135&lt;=100000,C135=INT(C135),OR(D135="未着手",D135="進行中")),IF(INT(B135)&lt;'今日の3件'!$C$5,"期限超過",IF(INT(B135)='今日の3件'!$C$5,"今日締切",IF(INT(B135)&lt;='今日の3件'!$C$5+3,"3日以内","これから"))),"入力確認")))</x:f>
      </x:c>
      <x:c r="F135" s="61"/>
      <x:c r="G135" s="66" t="n">
        <x:f>IF(OR(A135="",D135="完了",E135="入力確認"),999999999,INT(B135)*1000+ROW())</x:f>
        <x:v>999999999</x:v>
      </x:c>
      <x:c r="H135" s="66" t="n">
        <x:f>IF(G135=999999999,0,1)</x:f>
        <x:v>0</x:v>
      </x:c>
      <x:c r="I135" s="67" t="n">
        <x:f>IF(H135=0,0,IF(B135&lt;='今日の3件'!$C$5+7-WEEKDAY('今日の3件'!$C$5,2),C135,0))</x:f>
        <x:v>0</x:v>
      </x:c>
      <x:c r="J135" s="67" t="n">
        <x:f>IF(E135="入力確認",1,0)</x:f>
        <x:v>0</x:v>
      </x:c>
      <x:c r="K135" s="67" t="n">
        <x:f>IF(AND(A135&lt;&gt;"",D135="完了"),1,0)</x:f>
        <x:v>0</x:v>
      </x:c>
      <x:c r="L135" s="67" t="n">
        <x:f>IF(A135="",0,1)</x:f>
        <x:v>0</x:v>
      </x:c>
      <x:c r="M135" s="67" t="n">
        <x:f>IF(E135="期限超過",1,0)</x:f>
        <x:v>0</x:v>
      </x:c>
    </x:row>
    <x:row r="136" ht="28" customHeight="1">
      <x:c r="A136" s="62"/>
      <x:c r="B136" s="63"/>
      <x:c r="C136" s="65"/>
      <x:c r="D136" s="61"/>
      <x:c r="E136" s="49" t="str">
        <x:f>IF(A136="","",IF(D136="完了","完了",IF(AND(ISNUMBER(B136),B136&gt;=DATE(2000,1,1),B136&lt;=DATE(2100,12,31),ISNUMBER(C136),C136&gt;0,C136&lt;=100000,C136=INT(C136),OR(D136="未着手",D136="進行中")),IF(INT(B136)&lt;'今日の3件'!$C$5,"期限超過",IF(INT(B136)='今日の3件'!$C$5,"今日締切",IF(INT(B136)&lt;='今日の3件'!$C$5+3,"3日以内","これから"))),"入力確認")))</x:f>
      </x:c>
      <x:c r="F136" s="61"/>
      <x:c r="G136" s="66" t="n">
        <x:f>IF(OR(A136="",D136="完了",E136="入力確認"),999999999,INT(B136)*1000+ROW())</x:f>
        <x:v>999999999</x:v>
      </x:c>
      <x:c r="H136" s="66" t="n">
        <x:f>IF(G136=999999999,0,1)</x:f>
        <x:v>0</x:v>
      </x:c>
      <x:c r="I136" s="67" t="n">
        <x:f>IF(H136=0,0,IF(B136&lt;='今日の3件'!$C$5+7-WEEKDAY('今日の3件'!$C$5,2),C136,0))</x:f>
        <x:v>0</x:v>
      </x:c>
      <x:c r="J136" s="67" t="n">
        <x:f>IF(E136="入力確認",1,0)</x:f>
        <x:v>0</x:v>
      </x:c>
      <x:c r="K136" s="67" t="n">
        <x:f>IF(AND(A136&lt;&gt;"",D136="完了"),1,0)</x:f>
        <x:v>0</x:v>
      </x:c>
      <x:c r="L136" s="67" t="n">
        <x:f>IF(A136="",0,1)</x:f>
        <x:v>0</x:v>
      </x:c>
      <x:c r="M136" s="67" t="n">
        <x:f>IF(E136="期限超過",1,0)</x:f>
        <x:v>0</x:v>
      </x:c>
    </x:row>
    <x:row r="137" ht="28" customHeight="1">
      <x:c r="A137" s="62"/>
      <x:c r="B137" s="63"/>
      <x:c r="C137" s="65"/>
      <x:c r="D137" s="61"/>
      <x:c r="E137" s="49" t="str">
        <x:f>IF(A137="","",IF(D137="完了","完了",IF(AND(ISNUMBER(B137),B137&gt;=DATE(2000,1,1),B137&lt;=DATE(2100,12,31),ISNUMBER(C137),C137&gt;0,C137&lt;=100000,C137=INT(C137),OR(D137="未着手",D137="進行中")),IF(INT(B137)&lt;'今日の3件'!$C$5,"期限超過",IF(INT(B137)='今日の3件'!$C$5,"今日締切",IF(INT(B137)&lt;='今日の3件'!$C$5+3,"3日以内","これから"))),"入力確認")))</x:f>
      </x:c>
      <x:c r="F137" s="61"/>
      <x:c r="G137" s="66" t="n">
        <x:f>IF(OR(A137="",D137="完了",E137="入力確認"),999999999,INT(B137)*1000+ROW())</x:f>
        <x:v>999999999</x:v>
      </x:c>
      <x:c r="H137" s="66" t="n">
        <x:f>IF(G137=999999999,0,1)</x:f>
        <x:v>0</x:v>
      </x:c>
      <x:c r="I137" s="67" t="n">
        <x:f>IF(H137=0,0,IF(B137&lt;='今日の3件'!$C$5+7-WEEKDAY('今日の3件'!$C$5,2),C137,0))</x:f>
        <x:v>0</x:v>
      </x:c>
      <x:c r="J137" s="67" t="n">
        <x:f>IF(E137="入力確認",1,0)</x:f>
        <x:v>0</x:v>
      </x:c>
      <x:c r="K137" s="67" t="n">
        <x:f>IF(AND(A137&lt;&gt;"",D137="完了"),1,0)</x:f>
        <x:v>0</x:v>
      </x:c>
      <x:c r="L137" s="67" t="n">
        <x:f>IF(A137="",0,1)</x:f>
        <x:v>0</x:v>
      </x:c>
      <x:c r="M137" s="67" t="n">
        <x:f>IF(E137="期限超過",1,0)</x:f>
        <x:v>0</x:v>
      </x:c>
    </x:row>
    <x:row r="138" ht="28" customHeight="1">
      <x:c r="A138" s="62"/>
      <x:c r="B138" s="63"/>
      <x:c r="C138" s="65"/>
      <x:c r="D138" s="61"/>
      <x:c r="E138" s="49" t="str">
        <x:f>IF(A138="","",IF(D138="完了","完了",IF(AND(ISNUMBER(B138),B138&gt;=DATE(2000,1,1),B138&lt;=DATE(2100,12,31),ISNUMBER(C138),C138&gt;0,C138&lt;=100000,C138=INT(C138),OR(D138="未着手",D138="進行中")),IF(INT(B138)&lt;'今日の3件'!$C$5,"期限超過",IF(INT(B138)='今日の3件'!$C$5,"今日締切",IF(INT(B138)&lt;='今日の3件'!$C$5+3,"3日以内","これから"))),"入力確認")))</x:f>
      </x:c>
      <x:c r="F138" s="61"/>
      <x:c r="G138" s="66" t="n">
        <x:f>IF(OR(A138="",D138="完了",E138="入力確認"),999999999,INT(B138)*1000+ROW())</x:f>
        <x:v>999999999</x:v>
      </x:c>
      <x:c r="H138" s="66" t="n">
        <x:f>IF(G138=999999999,0,1)</x:f>
        <x:v>0</x:v>
      </x:c>
      <x:c r="I138" s="67" t="n">
        <x:f>IF(H138=0,0,IF(B138&lt;='今日の3件'!$C$5+7-WEEKDAY('今日の3件'!$C$5,2),C138,0))</x:f>
        <x:v>0</x:v>
      </x:c>
      <x:c r="J138" s="67" t="n">
        <x:f>IF(E138="入力確認",1,0)</x:f>
        <x:v>0</x:v>
      </x:c>
      <x:c r="K138" s="67" t="n">
        <x:f>IF(AND(A138&lt;&gt;"",D138="完了"),1,0)</x:f>
        <x:v>0</x:v>
      </x:c>
      <x:c r="L138" s="67" t="n">
        <x:f>IF(A138="",0,1)</x:f>
        <x:v>0</x:v>
      </x:c>
      <x:c r="M138" s="67" t="n">
        <x:f>IF(E138="期限超過",1,0)</x:f>
        <x:v>0</x:v>
      </x:c>
    </x:row>
    <x:row r="139" ht="28" customHeight="1">
      <x:c r="A139" s="62"/>
      <x:c r="B139" s="63"/>
      <x:c r="C139" s="65"/>
      <x:c r="D139" s="61"/>
      <x:c r="E139" s="49" t="str">
        <x:f>IF(A139="","",IF(D139="完了","完了",IF(AND(ISNUMBER(B139),B139&gt;=DATE(2000,1,1),B139&lt;=DATE(2100,12,31),ISNUMBER(C139),C139&gt;0,C139&lt;=100000,C139=INT(C139),OR(D139="未着手",D139="進行中")),IF(INT(B139)&lt;'今日の3件'!$C$5,"期限超過",IF(INT(B139)='今日の3件'!$C$5,"今日締切",IF(INT(B139)&lt;='今日の3件'!$C$5+3,"3日以内","これから"))),"入力確認")))</x:f>
      </x:c>
      <x:c r="F139" s="61"/>
      <x:c r="G139" s="66" t="n">
        <x:f>IF(OR(A139="",D139="完了",E139="入力確認"),999999999,INT(B139)*1000+ROW())</x:f>
        <x:v>999999999</x:v>
      </x:c>
      <x:c r="H139" s="66" t="n">
        <x:f>IF(G139=999999999,0,1)</x:f>
        <x:v>0</x:v>
      </x:c>
      <x:c r="I139" s="67" t="n">
        <x:f>IF(H139=0,0,IF(B139&lt;='今日の3件'!$C$5+7-WEEKDAY('今日の3件'!$C$5,2),C139,0))</x:f>
        <x:v>0</x:v>
      </x:c>
      <x:c r="J139" s="67" t="n">
        <x:f>IF(E139="入力確認",1,0)</x:f>
        <x:v>0</x:v>
      </x:c>
      <x:c r="K139" s="67" t="n">
        <x:f>IF(AND(A139&lt;&gt;"",D139="完了"),1,0)</x:f>
        <x:v>0</x:v>
      </x:c>
      <x:c r="L139" s="67" t="n">
        <x:f>IF(A139="",0,1)</x:f>
        <x:v>0</x:v>
      </x:c>
      <x:c r="M139" s="67" t="n">
        <x:f>IF(E139="期限超過",1,0)</x:f>
        <x:v>0</x:v>
      </x:c>
    </x:row>
    <x:row r="140" ht="28" customHeight="1">
      <x:c r="A140" s="62"/>
      <x:c r="B140" s="63"/>
      <x:c r="C140" s="65"/>
      <x:c r="D140" s="61"/>
      <x:c r="E140" s="49" t="str">
        <x:f>IF(A140="","",IF(D140="完了","完了",IF(AND(ISNUMBER(B140),B140&gt;=DATE(2000,1,1),B140&lt;=DATE(2100,12,31),ISNUMBER(C140),C140&gt;0,C140&lt;=100000,C140=INT(C140),OR(D140="未着手",D140="進行中")),IF(INT(B140)&lt;'今日の3件'!$C$5,"期限超過",IF(INT(B140)='今日の3件'!$C$5,"今日締切",IF(INT(B140)&lt;='今日の3件'!$C$5+3,"3日以内","これから"))),"入力確認")))</x:f>
      </x:c>
      <x:c r="F140" s="61"/>
      <x:c r="G140" s="66" t="n">
        <x:f>IF(OR(A140="",D140="完了",E140="入力確認"),999999999,INT(B140)*1000+ROW())</x:f>
        <x:v>999999999</x:v>
      </x:c>
      <x:c r="H140" s="66" t="n">
        <x:f>IF(G140=999999999,0,1)</x:f>
        <x:v>0</x:v>
      </x:c>
      <x:c r="I140" s="67" t="n">
        <x:f>IF(H140=0,0,IF(B140&lt;='今日の3件'!$C$5+7-WEEKDAY('今日の3件'!$C$5,2),C140,0))</x:f>
        <x:v>0</x:v>
      </x:c>
      <x:c r="J140" s="67" t="n">
        <x:f>IF(E140="入力確認",1,0)</x:f>
        <x:v>0</x:v>
      </x:c>
      <x:c r="K140" s="67" t="n">
        <x:f>IF(AND(A140&lt;&gt;"",D140="完了"),1,0)</x:f>
        <x:v>0</x:v>
      </x:c>
      <x:c r="L140" s="67" t="n">
        <x:f>IF(A140="",0,1)</x:f>
        <x:v>0</x:v>
      </x:c>
      <x:c r="M140" s="67" t="n">
        <x:f>IF(E140="期限超過",1,0)</x:f>
        <x:v>0</x:v>
      </x:c>
    </x:row>
    <x:row r="141" ht="28" customHeight="1">
      <x:c r="A141" s="62"/>
      <x:c r="B141" s="63"/>
      <x:c r="C141" s="65"/>
      <x:c r="D141" s="61"/>
      <x:c r="E141" s="49" t="str">
        <x:f>IF(A141="","",IF(D141="完了","完了",IF(AND(ISNUMBER(B141),B141&gt;=DATE(2000,1,1),B141&lt;=DATE(2100,12,31),ISNUMBER(C141),C141&gt;0,C141&lt;=100000,C141=INT(C141),OR(D141="未着手",D141="進行中")),IF(INT(B141)&lt;'今日の3件'!$C$5,"期限超過",IF(INT(B141)='今日の3件'!$C$5,"今日締切",IF(INT(B141)&lt;='今日の3件'!$C$5+3,"3日以内","これから"))),"入力確認")))</x:f>
      </x:c>
      <x:c r="F141" s="61"/>
      <x:c r="G141" s="66" t="n">
        <x:f>IF(OR(A141="",D141="完了",E141="入力確認"),999999999,INT(B141)*1000+ROW())</x:f>
        <x:v>999999999</x:v>
      </x:c>
      <x:c r="H141" s="66" t="n">
        <x:f>IF(G141=999999999,0,1)</x:f>
        <x:v>0</x:v>
      </x:c>
      <x:c r="I141" s="67" t="n">
        <x:f>IF(H141=0,0,IF(B141&lt;='今日の3件'!$C$5+7-WEEKDAY('今日の3件'!$C$5,2),C141,0))</x:f>
        <x:v>0</x:v>
      </x:c>
      <x:c r="J141" s="67" t="n">
        <x:f>IF(E141="入力確認",1,0)</x:f>
        <x:v>0</x:v>
      </x:c>
      <x:c r="K141" s="67" t="n">
        <x:f>IF(AND(A141&lt;&gt;"",D141="完了"),1,0)</x:f>
        <x:v>0</x:v>
      </x:c>
      <x:c r="L141" s="67" t="n">
        <x:f>IF(A141="",0,1)</x:f>
        <x:v>0</x:v>
      </x:c>
      <x:c r="M141" s="67" t="n">
        <x:f>IF(E141="期限超過",1,0)</x:f>
        <x:v>0</x:v>
      </x:c>
    </x:row>
    <x:row r="142" ht="28" customHeight="1">
      <x:c r="A142" s="62"/>
      <x:c r="B142" s="63"/>
      <x:c r="C142" s="65"/>
      <x:c r="D142" s="61"/>
      <x:c r="E142" s="49" t="str">
        <x:f>IF(A142="","",IF(D142="完了","完了",IF(AND(ISNUMBER(B142),B142&gt;=DATE(2000,1,1),B142&lt;=DATE(2100,12,31),ISNUMBER(C142),C142&gt;0,C142&lt;=100000,C142=INT(C142),OR(D142="未着手",D142="進行中")),IF(INT(B142)&lt;'今日の3件'!$C$5,"期限超過",IF(INT(B142)='今日の3件'!$C$5,"今日締切",IF(INT(B142)&lt;='今日の3件'!$C$5+3,"3日以内","これから"))),"入力確認")))</x:f>
      </x:c>
      <x:c r="F142" s="61"/>
      <x:c r="G142" s="66" t="n">
        <x:f>IF(OR(A142="",D142="完了",E142="入力確認"),999999999,INT(B142)*1000+ROW())</x:f>
        <x:v>999999999</x:v>
      </x:c>
      <x:c r="H142" s="66" t="n">
        <x:f>IF(G142=999999999,0,1)</x:f>
        <x:v>0</x:v>
      </x:c>
      <x:c r="I142" s="67" t="n">
        <x:f>IF(H142=0,0,IF(B142&lt;='今日の3件'!$C$5+7-WEEKDAY('今日の3件'!$C$5,2),C142,0))</x:f>
        <x:v>0</x:v>
      </x:c>
      <x:c r="J142" s="67" t="n">
        <x:f>IF(E142="入力確認",1,0)</x:f>
        <x:v>0</x:v>
      </x:c>
      <x:c r="K142" s="67" t="n">
        <x:f>IF(AND(A142&lt;&gt;"",D142="完了"),1,0)</x:f>
        <x:v>0</x:v>
      </x:c>
      <x:c r="L142" s="67" t="n">
        <x:f>IF(A142="",0,1)</x:f>
        <x:v>0</x:v>
      </x:c>
      <x:c r="M142" s="67" t="n">
        <x:f>IF(E142="期限超過",1,0)</x:f>
        <x:v>0</x:v>
      </x:c>
    </x:row>
    <x:row r="143" ht="28" customHeight="1">
      <x:c r="A143" s="62"/>
      <x:c r="B143" s="63"/>
      <x:c r="C143" s="65"/>
      <x:c r="D143" s="61"/>
      <x:c r="E143" s="49" t="str">
        <x:f>IF(A143="","",IF(D143="完了","完了",IF(AND(ISNUMBER(B143),B143&gt;=DATE(2000,1,1),B143&lt;=DATE(2100,12,31),ISNUMBER(C143),C143&gt;0,C143&lt;=100000,C143=INT(C143),OR(D143="未着手",D143="進行中")),IF(INT(B143)&lt;'今日の3件'!$C$5,"期限超過",IF(INT(B143)='今日の3件'!$C$5,"今日締切",IF(INT(B143)&lt;='今日の3件'!$C$5+3,"3日以内","これから"))),"入力確認")))</x:f>
      </x:c>
      <x:c r="F143" s="61"/>
      <x:c r="G143" s="66" t="n">
        <x:f>IF(OR(A143="",D143="完了",E143="入力確認"),999999999,INT(B143)*1000+ROW())</x:f>
        <x:v>999999999</x:v>
      </x:c>
      <x:c r="H143" s="66" t="n">
        <x:f>IF(G143=999999999,0,1)</x:f>
        <x:v>0</x:v>
      </x:c>
      <x:c r="I143" s="67" t="n">
        <x:f>IF(H143=0,0,IF(B143&lt;='今日の3件'!$C$5+7-WEEKDAY('今日の3件'!$C$5,2),C143,0))</x:f>
        <x:v>0</x:v>
      </x:c>
      <x:c r="J143" s="67" t="n">
        <x:f>IF(E143="入力確認",1,0)</x:f>
        <x:v>0</x:v>
      </x:c>
      <x:c r="K143" s="67" t="n">
        <x:f>IF(AND(A143&lt;&gt;"",D143="完了"),1,0)</x:f>
        <x:v>0</x:v>
      </x:c>
      <x:c r="L143" s="67" t="n">
        <x:f>IF(A143="",0,1)</x:f>
        <x:v>0</x:v>
      </x:c>
      <x:c r="M143" s="67" t="n">
        <x:f>IF(E143="期限超過",1,0)</x:f>
        <x:v>0</x:v>
      </x:c>
    </x:row>
    <x:row r="144" ht="28" customHeight="1">
      <x:c r="A144" s="62"/>
      <x:c r="B144" s="63"/>
      <x:c r="C144" s="65"/>
      <x:c r="D144" s="61"/>
      <x:c r="E144" s="49" t="str">
        <x:f>IF(A144="","",IF(D144="完了","完了",IF(AND(ISNUMBER(B144),B144&gt;=DATE(2000,1,1),B144&lt;=DATE(2100,12,31),ISNUMBER(C144),C144&gt;0,C144&lt;=100000,C144=INT(C144),OR(D144="未着手",D144="進行中")),IF(INT(B144)&lt;'今日の3件'!$C$5,"期限超過",IF(INT(B144)='今日の3件'!$C$5,"今日締切",IF(INT(B144)&lt;='今日の3件'!$C$5+3,"3日以内","これから"))),"入力確認")))</x:f>
      </x:c>
      <x:c r="F144" s="61"/>
      <x:c r="G144" s="66" t="n">
        <x:f>IF(OR(A144="",D144="完了",E144="入力確認"),999999999,INT(B144)*1000+ROW())</x:f>
        <x:v>999999999</x:v>
      </x:c>
      <x:c r="H144" s="66" t="n">
        <x:f>IF(G144=999999999,0,1)</x:f>
        <x:v>0</x:v>
      </x:c>
      <x:c r="I144" s="67" t="n">
        <x:f>IF(H144=0,0,IF(B144&lt;='今日の3件'!$C$5+7-WEEKDAY('今日の3件'!$C$5,2),C144,0))</x:f>
        <x:v>0</x:v>
      </x:c>
      <x:c r="J144" s="67" t="n">
        <x:f>IF(E144="入力確認",1,0)</x:f>
        <x:v>0</x:v>
      </x:c>
      <x:c r="K144" s="67" t="n">
        <x:f>IF(AND(A144&lt;&gt;"",D144="完了"),1,0)</x:f>
        <x:v>0</x:v>
      </x:c>
      <x:c r="L144" s="67" t="n">
        <x:f>IF(A144="",0,1)</x:f>
        <x:v>0</x:v>
      </x:c>
      <x:c r="M144" s="67" t="n">
        <x:f>IF(E144="期限超過",1,0)</x:f>
        <x:v>0</x:v>
      </x:c>
    </x:row>
    <x:row r="145" ht="28" customHeight="1">
      <x:c r="A145" s="62"/>
      <x:c r="B145" s="63"/>
      <x:c r="C145" s="65"/>
      <x:c r="D145" s="61"/>
      <x:c r="E145" s="49" t="str">
        <x:f>IF(A145="","",IF(D145="完了","完了",IF(AND(ISNUMBER(B145),B145&gt;=DATE(2000,1,1),B145&lt;=DATE(2100,12,31),ISNUMBER(C145),C145&gt;0,C145&lt;=100000,C145=INT(C145),OR(D145="未着手",D145="進行中")),IF(INT(B145)&lt;'今日の3件'!$C$5,"期限超過",IF(INT(B145)='今日の3件'!$C$5,"今日締切",IF(INT(B145)&lt;='今日の3件'!$C$5+3,"3日以内","これから"))),"入力確認")))</x:f>
      </x:c>
      <x:c r="F145" s="61"/>
      <x:c r="G145" s="66" t="n">
        <x:f>IF(OR(A145="",D145="完了",E145="入力確認"),999999999,INT(B145)*1000+ROW())</x:f>
        <x:v>999999999</x:v>
      </x:c>
      <x:c r="H145" s="66" t="n">
        <x:f>IF(G145=999999999,0,1)</x:f>
        <x:v>0</x:v>
      </x:c>
      <x:c r="I145" s="67" t="n">
        <x:f>IF(H145=0,0,IF(B145&lt;='今日の3件'!$C$5+7-WEEKDAY('今日の3件'!$C$5,2),C145,0))</x:f>
        <x:v>0</x:v>
      </x:c>
      <x:c r="J145" s="67" t="n">
        <x:f>IF(E145="入力確認",1,0)</x:f>
        <x:v>0</x:v>
      </x:c>
      <x:c r="K145" s="67" t="n">
        <x:f>IF(AND(A145&lt;&gt;"",D145="完了"),1,0)</x:f>
        <x:v>0</x:v>
      </x:c>
      <x:c r="L145" s="67" t="n">
        <x:f>IF(A145="",0,1)</x:f>
        <x:v>0</x:v>
      </x:c>
      <x:c r="M145" s="67" t="n">
        <x:f>IF(E145="期限超過",1,0)</x:f>
        <x:v>0</x:v>
      </x:c>
    </x:row>
    <x:row r="146" ht="28" customHeight="1">
      <x:c r="A146" s="62"/>
      <x:c r="B146" s="63"/>
      <x:c r="C146" s="65"/>
      <x:c r="D146" s="61"/>
      <x:c r="E146" s="49" t="str">
        <x:f>IF(A146="","",IF(D146="完了","完了",IF(AND(ISNUMBER(B146),B146&gt;=DATE(2000,1,1),B146&lt;=DATE(2100,12,31),ISNUMBER(C146),C146&gt;0,C146&lt;=100000,C146=INT(C146),OR(D146="未着手",D146="進行中")),IF(INT(B146)&lt;'今日の3件'!$C$5,"期限超過",IF(INT(B146)='今日の3件'!$C$5,"今日締切",IF(INT(B146)&lt;='今日の3件'!$C$5+3,"3日以内","これから"))),"入力確認")))</x:f>
      </x:c>
      <x:c r="F146" s="61"/>
      <x:c r="G146" s="66" t="n">
        <x:f>IF(OR(A146="",D146="完了",E146="入力確認"),999999999,INT(B146)*1000+ROW())</x:f>
        <x:v>999999999</x:v>
      </x:c>
      <x:c r="H146" s="66" t="n">
        <x:f>IF(G146=999999999,0,1)</x:f>
        <x:v>0</x:v>
      </x:c>
      <x:c r="I146" s="67" t="n">
        <x:f>IF(H146=0,0,IF(B146&lt;='今日の3件'!$C$5+7-WEEKDAY('今日の3件'!$C$5,2),C146,0))</x:f>
        <x:v>0</x:v>
      </x:c>
      <x:c r="J146" s="67" t="n">
        <x:f>IF(E146="入力確認",1,0)</x:f>
        <x:v>0</x:v>
      </x:c>
      <x:c r="K146" s="67" t="n">
        <x:f>IF(AND(A146&lt;&gt;"",D146="完了"),1,0)</x:f>
        <x:v>0</x:v>
      </x:c>
      <x:c r="L146" s="67" t="n">
        <x:f>IF(A146="",0,1)</x:f>
        <x:v>0</x:v>
      </x:c>
      <x:c r="M146" s="67" t="n">
        <x:f>IF(E146="期限超過",1,0)</x:f>
        <x:v>0</x:v>
      </x:c>
    </x:row>
    <x:row r="147" ht="28" customHeight="1">
      <x:c r="A147" s="62"/>
      <x:c r="B147" s="63"/>
      <x:c r="C147" s="65"/>
      <x:c r="D147" s="61"/>
      <x:c r="E147" s="49" t="str">
        <x:f>IF(A147="","",IF(D147="完了","完了",IF(AND(ISNUMBER(B147),B147&gt;=DATE(2000,1,1),B147&lt;=DATE(2100,12,31),ISNUMBER(C147),C147&gt;0,C147&lt;=100000,C147=INT(C147),OR(D147="未着手",D147="進行中")),IF(INT(B147)&lt;'今日の3件'!$C$5,"期限超過",IF(INT(B147)='今日の3件'!$C$5,"今日締切",IF(INT(B147)&lt;='今日の3件'!$C$5+3,"3日以内","これから"))),"入力確認")))</x:f>
      </x:c>
      <x:c r="F147" s="61"/>
      <x:c r="G147" s="66" t="n">
        <x:f>IF(OR(A147="",D147="完了",E147="入力確認"),999999999,INT(B147)*1000+ROW())</x:f>
        <x:v>999999999</x:v>
      </x:c>
      <x:c r="H147" s="66" t="n">
        <x:f>IF(G147=999999999,0,1)</x:f>
        <x:v>0</x:v>
      </x:c>
      <x:c r="I147" s="67" t="n">
        <x:f>IF(H147=0,0,IF(B147&lt;='今日の3件'!$C$5+7-WEEKDAY('今日の3件'!$C$5,2),C147,0))</x:f>
        <x:v>0</x:v>
      </x:c>
      <x:c r="J147" s="67" t="n">
        <x:f>IF(E147="入力確認",1,0)</x:f>
        <x:v>0</x:v>
      </x:c>
      <x:c r="K147" s="67" t="n">
        <x:f>IF(AND(A147&lt;&gt;"",D147="完了"),1,0)</x:f>
        <x:v>0</x:v>
      </x:c>
      <x:c r="L147" s="67" t="n">
        <x:f>IF(A147="",0,1)</x:f>
        <x:v>0</x:v>
      </x:c>
      <x:c r="M147" s="67" t="n">
        <x:f>IF(E147="期限超過",1,0)</x:f>
        <x:v>0</x:v>
      </x:c>
    </x:row>
    <x:row r="148" ht="28" customHeight="1">
      <x:c r="A148" s="62"/>
      <x:c r="B148" s="63"/>
      <x:c r="C148" s="65"/>
      <x:c r="D148" s="61"/>
      <x:c r="E148" s="49" t="str">
        <x:f>IF(A148="","",IF(D148="完了","完了",IF(AND(ISNUMBER(B148),B148&gt;=DATE(2000,1,1),B148&lt;=DATE(2100,12,31),ISNUMBER(C148),C148&gt;0,C148&lt;=100000,C148=INT(C148),OR(D148="未着手",D148="進行中")),IF(INT(B148)&lt;'今日の3件'!$C$5,"期限超過",IF(INT(B148)='今日の3件'!$C$5,"今日締切",IF(INT(B148)&lt;='今日の3件'!$C$5+3,"3日以内","これから"))),"入力確認")))</x:f>
      </x:c>
      <x:c r="F148" s="61"/>
      <x:c r="G148" s="66" t="n">
        <x:f>IF(OR(A148="",D148="完了",E148="入力確認"),999999999,INT(B148)*1000+ROW())</x:f>
        <x:v>999999999</x:v>
      </x:c>
      <x:c r="H148" s="66" t="n">
        <x:f>IF(G148=999999999,0,1)</x:f>
        <x:v>0</x:v>
      </x:c>
      <x:c r="I148" s="67" t="n">
        <x:f>IF(H148=0,0,IF(B148&lt;='今日の3件'!$C$5+7-WEEKDAY('今日の3件'!$C$5,2),C148,0))</x:f>
        <x:v>0</x:v>
      </x:c>
      <x:c r="J148" s="67" t="n">
        <x:f>IF(E148="入力確認",1,0)</x:f>
        <x:v>0</x:v>
      </x:c>
      <x:c r="K148" s="67" t="n">
        <x:f>IF(AND(A148&lt;&gt;"",D148="完了"),1,0)</x:f>
        <x:v>0</x:v>
      </x:c>
      <x:c r="L148" s="67" t="n">
        <x:f>IF(A148="",0,1)</x:f>
        <x:v>0</x:v>
      </x:c>
      <x:c r="M148" s="67" t="n">
        <x:f>IF(E148="期限超過",1,0)</x:f>
        <x:v>0</x:v>
      </x:c>
    </x:row>
    <x:row r="149" ht="28" customHeight="1">
      <x:c r="A149" s="62"/>
      <x:c r="B149" s="63"/>
      <x:c r="C149" s="65"/>
      <x:c r="D149" s="61"/>
      <x:c r="E149" s="49" t="str">
        <x:f>IF(A149="","",IF(D149="完了","完了",IF(AND(ISNUMBER(B149),B149&gt;=DATE(2000,1,1),B149&lt;=DATE(2100,12,31),ISNUMBER(C149),C149&gt;0,C149&lt;=100000,C149=INT(C149),OR(D149="未着手",D149="進行中")),IF(INT(B149)&lt;'今日の3件'!$C$5,"期限超過",IF(INT(B149)='今日の3件'!$C$5,"今日締切",IF(INT(B149)&lt;='今日の3件'!$C$5+3,"3日以内","これから"))),"入力確認")))</x:f>
      </x:c>
      <x:c r="F149" s="61"/>
      <x:c r="G149" s="66" t="n">
        <x:f>IF(OR(A149="",D149="完了",E149="入力確認"),999999999,INT(B149)*1000+ROW())</x:f>
        <x:v>999999999</x:v>
      </x:c>
      <x:c r="H149" s="66" t="n">
        <x:f>IF(G149=999999999,0,1)</x:f>
        <x:v>0</x:v>
      </x:c>
      <x:c r="I149" s="67" t="n">
        <x:f>IF(H149=0,0,IF(B149&lt;='今日の3件'!$C$5+7-WEEKDAY('今日の3件'!$C$5,2),C149,0))</x:f>
        <x:v>0</x:v>
      </x:c>
      <x:c r="J149" s="67" t="n">
        <x:f>IF(E149="入力確認",1,0)</x:f>
        <x:v>0</x:v>
      </x:c>
      <x:c r="K149" s="67" t="n">
        <x:f>IF(AND(A149&lt;&gt;"",D149="完了"),1,0)</x:f>
        <x:v>0</x:v>
      </x:c>
      <x:c r="L149" s="67" t="n">
        <x:f>IF(A149="",0,1)</x:f>
        <x:v>0</x:v>
      </x:c>
      <x:c r="M149" s="67" t="n">
        <x:f>IF(E149="期限超過",1,0)</x:f>
        <x:v>0</x:v>
      </x:c>
    </x:row>
    <x:row r="150" ht="28" customHeight="1">
      <x:c r="A150" s="62"/>
      <x:c r="B150" s="63"/>
      <x:c r="C150" s="65"/>
      <x:c r="D150" s="61"/>
      <x:c r="E150" s="49" t="str">
        <x:f>IF(A150="","",IF(D150="完了","完了",IF(AND(ISNUMBER(B150),B150&gt;=DATE(2000,1,1),B150&lt;=DATE(2100,12,31),ISNUMBER(C150),C150&gt;0,C150&lt;=100000,C150=INT(C150),OR(D150="未着手",D150="進行中")),IF(INT(B150)&lt;'今日の3件'!$C$5,"期限超過",IF(INT(B150)='今日の3件'!$C$5,"今日締切",IF(INT(B150)&lt;='今日の3件'!$C$5+3,"3日以内","これから"))),"入力確認")))</x:f>
      </x:c>
      <x:c r="F150" s="61"/>
      <x:c r="G150" s="66" t="n">
        <x:f>IF(OR(A150="",D150="完了",E150="入力確認"),999999999,INT(B150)*1000+ROW())</x:f>
        <x:v>999999999</x:v>
      </x:c>
      <x:c r="H150" s="66" t="n">
        <x:f>IF(G150=999999999,0,1)</x:f>
        <x:v>0</x:v>
      </x:c>
      <x:c r="I150" s="67" t="n">
        <x:f>IF(H150=0,0,IF(B150&lt;='今日の3件'!$C$5+7-WEEKDAY('今日の3件'!$C$5,2),C150,0))</x:f>
        <x:v>0</x:v>
      </x:c>
      <x:c r="J150" s="67" t="n">
        <x:f>IF(E150="入力確認",1,0)</x:f>
        <x:v>0</x:v>
      </x:c>
      <x:c r="K150" s="67" t="n">
        <x:f>IF(AND(A150&lt;&gt;"",D150="完了"),1,0)</x:f>
        <x:v>0</x:v>
      </x:c>
      <x:c r="L150" s="67" t="n">
        <x:f>IF(A150="",0,1)</x:f>
        <x:v>0</x:v>
      </x:c>
      <x:c r="M150" s="67" t="n">
        <x:f>IF(E150="期限超過",1,0)</x:f>
        <x:v>0</x:v>
      </x:c>
    </x:row>
    <x:row r="151" ht="28" customHeight="1">
      <x:c r="A151" s="62"/>
      <x:c r="B151" s="63"/>
      <x:c r="C151" s="65"/>
      <x:c r="D151" s="61"/>
      <x:c r="E151" s="49" t="str">
        <x:f>IF(A151="","",IF(D151="完了","完了",IF(AND(ISNUMBER(B151),B151&gt;=DATE(2000,1,1),B151&lt;=DATE(2100,12,31),ISNUMBER(C151),C151&gt;0,C151&lt;=100000,C151=INT(C151),OR(D151="未着手",D151="進行中")),IF(INT(B151)&lt;'今日の3件'!$C$5,"期限超過",IF(INT(B151)='今日の3件'!$C$5,"今日締切",IF(INT(B151)&lt;='今日の3件'!$C$5+3,"3日以内","これから"))),"入力確認")))</x:f>
      </x:c>
      <x:c r="F151" s="61"/>
      <x:c r="G151" s="66" t="n">
        <x:f>IF(OR(A151="",D151="完了",E151="入力確認"),999999999,INT(B151)*1000+ROW())</x:f>
        <x:v>999999999</x:v>
      </x:c>
      <x:c r="H151" s="66" t="n">
        <x:f>IF(G151=999999999,0,1)</x:f>
        <x:v>0</x:v>
      </x:c>
      <x:c r="I151" s="67" t="n">
        <x:f>IF(H151=0,0,IF(B151&lt;='今日の3件'!$C$5+7-WEEKDAY('今日の3件'!$C$5,2),C151,0))</x:f>
        <x:v>0</x:v>
      </x:c>
      <x:c r="J151" s="67" t="n">
        <x:f>IF(E151="入力確認",1,0)</x:f>
        <x:v>0</x:v>
      </x:c>
      <x:c r="K151" s="67" t="n">
        <x:f>IF(AND(A151&lt;&gt;"",D151="完了"),1,0)</x:f>
        <x:v>0</x:v>
      </x:c>
      <x:c r="L151" s="67" t="n">
        <x:f>IF(A151="",0,1)</x:f>
        <x:v>0</x:v>
      </x:c>
      <x:c r="M151" s="67" t="n">
        <x:f>IF(E151="期限超過",1,0)</x:f>
        <x:v>0</x:v>
      </x:c>
    </x:row>
    <x:row r="152" ht="28" customHeight="1">
      <x:c r="A152" s="62"/>
      <x:c r="B152" s="63"/>
      <x:c r="C152" s="65"/>
      <x:c r="D152" s="61"/>
      <x:c r="E152" s="49" t="str">
        <x:f>IF(A152="","",IF(D152="完了","完了",IF(AND(ISNUMBER(B152),B152&gt;=DATE(2000,1,1),B152&lt;=DATE(2100,12,31),ISNUMBER(C152),C152&gt;0,C152&lt;=100000,C152=INT(C152),OR(D152="未着手",D152="進行中")),IF(INT(B152)&lt;'今日の3件'!$C$5,"期限超過",IF(INT(B152)='今日の3件'!$C$5,"今日締切",IF(INT(B152)&lt;='今日の3件'!$C$5+3,"3日以内","これから"))),"入力確認")))</x:f>
      </x:c>
      <x:c r="F152" s="61"/>
      <x:c r="G152" s="66" t="n">
        <x:f>IF(OR(A152="",D152="完了",E152="入力確認"),999999999,INT(B152)*1000+ROW())</x:f>
        <x:v>999999999</x:v>
      </x:c>
      <x:c r="H152" s="66" t="n">
        <x:f>IF(G152=999999999,0,1)</x:f>
        <x:v>0</x:v>
      </x:c>
      <x:c r="I152" s="67" t="n">
        <x:f>IF(H152=0,0,IF(B152&lt;='今日の3件'!$C$5+7-WEEKDAY('今日の3件'!$C$5,2),C152,0))</x:f>
        <x:v>0</x:v>
      </x:c>
      <x:c r="J152" s="67" t="n">
        <x:f>IF(E152="入力確認",1,0)</x:f>
        <x:v>0</x:v>
      </x:c>
      <x:c r="K152" s="67" t="n">
        <x:f>IF(AND(A152&lt;&gt;"",D152="完了"),1,0)</x:f>
        <x:v>0</x:v>
      </x:c>
      <x:c r="L152" s="67" t="n">
        <x:f>IF(A152="",0,1)</x:f>
        <x:v>0</x:v>
      </x:c>
      <x:c r="M152" s="67" t="n">
        <x:f>IF(E152="期限超過",1,0)</x:f>
        <x:v>0</x:v>
      </x:c>
    </x:row>
    <x:row r="153" ht="28" customHeight="1">
      <x:c r="A153" s="62"/>
      <x:c r="B153" s="63"/>
      <x:c r="C153" s="65"/>
      <x:c r="D153" s="61"/>
      <x:c r="E153" s="49" t="str">
        <x:f>IF(A153="","",IF(D153="完了","完了",IF(AND(ISNUMBER(B153),B153&gt;=DATE(2000,1,1),B153&lt;=DATE(2100,12,31),ISNUMBER(C153),C153&gt;0,C153&lt;=100000,C153=INT(C153),OR(D153="未着手",D153="進行中")),IF(INT(B153)&lt;'今日の3件'!$C$5,"期限超過",IF(INT(B153)='今日の3件'!$C$5,"今日締切",IF(INT(B153)&lt;='今日の3件'!$C$5+3,"3日以内","これから"))),"入力確認")))</x:f>
      </x:c>
      <x:c r="F153" s="61"/>
      <x:c r="G153" s="66" t="n">
        <x:f>IF(OR(A153="",D153="完了",E153="入力確認"),999999999,INT(B153)*1000+ROW())</x:f>
        <x:v>999999999</x:v>
      </x:c>
      <x:c r="H153" s="66" t="n">
        <x:f>IF(G153=999999999,0,1)</x:f>
        <x:v>0</x:v>
      </x:c>
      <x:c r="I153" s="67" t="n">
        <x:f>IF(H153=0,0,IF(B153&lt;='今日の3件'!$C$5+7-WEEKDAY('今日の3件'!$C$5,2),C153,0))</x:f>
        <x:v>0</x:v>
      </x:c>
      <x:c r="J153" s="67" t="n">
        <x:f>IF(E153="入力確認",1,0)</x:f>
        <x:v>0</x:v>
      </x:c>
      <x:c r="K153" s="67" t="n">
        <x:f>IF(AND(A153&lt;&gt;"",D153="完了"),1,0)</x:f>
        <x:v>0</x:v>
      </x:c>
      <x:c r="L153" s="67" t="n">
        <x:f>IF(A153="",0,1)</x:f>
        <x:v>0</x:v>
      </x:c>
      <x:c r="M153" s="67" t="n">
        <x:f>IF(E153="期限超過",1,0)</x:f>
        <x:v>0</x:v>
      </x:c>
    </x:row>
    <x:row r="154" ht="28" customHeight="1">
      <x:c r="A154" s="62"/>
      <x:c r="B154" s="63"/>
      <x:c r="C154" s="65"/>
      <x:c r="D154" s="61"/>
      <x:c r="E154" s="49" t="str">
        <x:f>IF(A154="","",IF(D154="完了","完了",IF(AND(ISNUMBER(B154),B154&gt;=DATE(2000,1,1),B154&lt;=DATE(2100,12,31),ISNUMBER(C154),C154&gt;0,C154&lt;=100000,C154=INT(C154),OR(D154="未着手",D154="進行中")),IF(INT(B154)&lt;'今日の3件'!$C$5,"期限超過",IF(INT(B154)='今日の3件'!$C$5,"今日締切",IF(INT(B154)&lt;='今日の3件'!$C$5+3,"3日以内","これから"))),"入力確認")))</x:f>
      </x:c>
      <x:c r="F154" s="61"/>
      <x:c r="G154" s="66" t="n">
        <x:f>IF(OR(A154="",D154="完了",E154="入力確認"),999999999,INT(B154)*1000+ROW())</x:f>
        <x:v>999999999</x:v>
      </x:c>
      <x:c r="H154" s="66" t="n">
        <x:f>IF(G154=999999999,0,1)</x:f>
        <x:v>0</x:v>
      </x:c>
      <x:c r="I154" s="67" t="n">
        <x:f>IF(H154=0,0,IF(B154&lt;='今日の3件'!$C$5+7-WEEKDAY('今日の3件'!$C$5,2),C154,0))</x:f>
        <x:v>0</x:v>
      </x:c>
      <x:c r="J154" s="67" t="n">
        <x:f>IF(E154="入力確認",1,0)</x:f>
        <x:v>0</x:v>
      </x:c>
      <x:c r="K154" s="67" t="n">
        <x:f>IF(AND(A154&lt;&gt;"",D154="完了"),1,0)</x:f>
        <x:v>0</x:v>
      </x:c>
      <x:c r="L154" s="67" t="n">
        <x:f>IF(A154="",0,1)</x:f>
        <x:v>0</x:v>
      </x:c>
      <x:c r="M154" s="67" t="n">
        <x:f>IF(E154="期限超過",1,0)</x:f>
        <x:v>0</x:v>
      </x:c>
    </x:row>
    <x:row r="155" ht="28" customHeight="1">
      <x:c r="A155" s="62"/>
      <x:c r="B155" s="63"/>
      <x:c r="C155" s="65"/>
      <x:c r="D155" s="61"/>
      <x:c r="E155" s="49" t="str">
        <x:f>IF(A155="","",IF(D155="完了","完了",IF(AND(ISNUMBER(B155),B155&gt;=DATE(2000,1,1),B155&lt;=DATE(2100,12,31),ISNUMBER(C155),C155&gt;0,C155&lt;=100000,C155=INT(C155),OR(D155="未着手",D155="進行中")),IF(INT(B155)&lt;'今日の3件'!$C$5,"期限超過",IF(INT(B155)='今日の3件'!$C$5,"今日締切",IF(INT(B155)&lt;='今日の3件'!$C$5+3,"3日以内","これから"))),"入力確認")))</x:f>
      </x:c>
      <x:c r="F155" s="61"/>
      <x:c r="G155" s="66" t="n">
        <x:f>IF(OR(A155="",D155="完了",E155="入力確認"),999999999,INT(B155)*1000+ROW())</x:f>
        <x:v>999999999</x:v>
      </x:c>
      <x:c r="H155" s="66" t="n">
        <x:f>IF(G155=999999999,0,1)</x:f>
        <x:v>0</x:v>
      </x:c>
      <x:c r="I155" s="67" t="n">
        <x:f>IF(H155=0,0,IF(B155&lt;='今日の3件'!$C$5+7-WEEKDAY('今日の3件'!$C$5,2),C155,0))</x:f>
        <x:v>0</x:v>
      </x:c>
      <x:c r="J155" s="67" t="n">
        <x:f>IF(E155="入力確認",1,0)</x:f>
        <x:v>0</x:v>
      </x:c>
      <x:c r="K155" s="67" t="n">
        <x:f>IF(AND(A155&lt;&gt;"",D155="完了"),1,0)</x:f>
        <x:v>0</x:v>
      </x:c>
      <x:c r="L155" s="67" t="n">
        <x:f>IF(A155="",0,1)</x:f>
        <x:v>0</x:v>
      </x:c>
      <x:c r="M155" s="67" t="n">
        <x:f>IF(E155="期限超過",1,0)</x:f>
        <x:v>0</x:v>
      </x:c>
    </x:row>
    <x:row r="156" ht="28" customHeight="1">
      <x:c r="A156" s="62"/>
      <x:c r="B156" s="63"/>
      <x:c r="C156" s="65"/>
      <x:c r="D156" s="61"/>
      <x:c r="E156" s="49" t="str">
        <x:f>IF(A156="","",IF(D156="完了","完了",IF(AND(ISNUMBER(B156),B156&gt;=DATE(2000,1,1),B156&lt;=DATE(2100,12,31),ISNUMBER(C156),C156&gt;0,C156&lt;=100000,C156=INT(C156),OR(D156="未着手",D156="進行中")),IF(INT(B156)&lt;'今日の3件'!$C$5,"期限超過",IF(INT(B156)='今日の3件'!$C$5,"今日締切",IF(INT(B156)&lt;='今日の3件'!$C$5+3,"3日以内","これから"))),"入力確認")))</x:f>
      </x:c>
      <x:c r="F156" s="61"/>
      <x:c r="G156" s="66" t="n">
        <x:f>IF(OR(A156="",D156="完了",E156="入力確認"),999999999,INT(B156)*1000+ROW())</x:f>
        <x:v>999999999</x:v>
      </x:c>
      <x:c r="H156" s="66" t="n">
        <x:f>IF(G156=999999999,0,1)</x:f>
        <x:v>0</x:v>
      </x:c>
      <x:c r="I156" s="67" t="n">
        <x:f>IF(H156=0,0,IF(B156&lt;='今日の3件'!$C$5+7-WEEKDAY('今日の3件'!$C$5,2),C156,0))</x:f>
        <x:v>0</x:v>
      </x:c>
      <x:c r="J156" s="67" t="n">
        <x:f>IF(E156="入力確認",1,0)</x:f>
        <x:v>0</x:v>
      </x:c>
      <x:c r="K156" s="67" t="n">
        <x:f>IF(AND(A156&lt;&gt;"",D156="完了"),1,0)</x:f>
        <x:v>0</x:v>
      </x:c>
      <x:c r="L156" s="67" t="n">
        <x:f>IF(A156="",0,1)</x:f>
        <x:v>0</x:v>
      </x:c>
      <x:c r="M156" s="67" t="n">
        <x:f>IF(E156="期限超過",1,0)</x:f>
        <x:v>0</x:v>
      </x:c>
    </x:row>
    <x:row r="157" ht="28" customHeight="1">
      <x:c r="A157" s="62"/>
      <x:c r="B157" s="63"/>
      <x:c r="C157" s="65"/>
      <x:c r="D157" s="61"/>
      <x:c r="E157" s="49" t="str">
        <x:f>IF(A157="","",IF(D157="完了","完了",IF(AND(ISNUMBER(B157),B157&gt;=DATE(2000,1,1),B157&lt;=DATE(2100,12,31),ISNUMBER(C157),C157&gt;0,C157&lt;=100000,C157=INT(C157),OR(D157="未着手",D157="進行中")),IF(INT(B157)&lt;'今日の3件'!$C$5,"期限超過",IF(INT(B157)='今日の3件'!$C$5,"今日締切",IF(INT(B157)&lt;='今日の3件'!$C$5+3,"3日以内","これから"))),"入力確認")))</x:f>
      </x:c>
      <x:c r="F157" s="61"/>
      <x:c r="G157" s="66" t="n">
        <x:f>IF(OR(A157="",D157="完了",E157="入力確認"),999999999,INT(B157)*1000+ROW())</x:f>
        <x:v>999999999</x:v>
      </x:c>
      <x:c r="H157" s="66" t="n">
        <x:f>IF(G157=999999999,0,1)</x:f>
        <x:v>0</x:v>
      </x:c>
      <x:c r="I157" s="67" t="n">
        <x:f>IF(H157=0,0,IF(B157&lt;='今日の3件'!$C$5+7-WEEKDAY('今日の3件'!$C$5,2),C157,0))</x:f>
        <x:v>0</x:v>
      </x:c>
      <x:c r="J157" s="67" t="n">
        <x:f>IF(E157="入力確認",1,0)</x:f>
        <x:v>0</x:v>
      </x:c>
      <x:c r="K157" s="67" t="n">
        <x:f>IF(AND(A157&lt;&gt;"",D157="完了"),1,0)</x:f>
        <x:v>0</x:v>
      </x:c>
      <x:c r="L157" s="67" t="n">
        <x:f>IF(A157="",0,1)</x:f>
        <x:v>0</x:v>
      </x:c>
      <x:c r="M157" s="67" t="n">
        <x:f>IF(E157="期限超過",1,0)</x:f>
        <x:v>0</x:v>
      </x:c>
    </x:row>
    <x:row r="158" ht="28" customHeight="1">
      <x:c r="A158" s="62"/>
      <x:c r="B158" s="63"/>
      <x:c r="C158" s="65"/>
      <x:c r="D158" s="61"/>
      <x:c r="E158" s="49" t="str">
        <x:f>IF(A158="","",IF(D158="完了","完了",IF(AND(ISNUMBER(B158),B158&gt;=DATE(2000,1,1),B158&lt;=DATE(2100,12,31),ISNUMBER(C158),C158&gt;0,C158&lt;=100000,C158=INT(C158),OR(D158="未着手",D158="進行中")),IF(INT(B158)&lt;'今日の3件'!$C$5,"期限超過",IF(INT(B158)='今日の3件'!$C$5,"今日締切",IF(INT(B158)&lt;='今日の3件'!$C$5+3,"3日以内","これから"))),"入力確認")))</x:f>
      </x:c>
      <x:c r="F158" s="61"/>
      <x:c r="G158" s="66" t="n">
        <x:f>IF(OR(A158="",D158="完了",E158="入力確認"),999999999,INT(B158)*1000+ROW())</x:f>
        <x:v>999999999</x:v>
      </x:c>
      <x:c r="H158" s="66" t="n">
        <x:f>IF(G158=999999999,0,1)</x:f>
        <x:v>0</x:v>
      </x:c>
      <x:c r="I158" s="67" t="n">
        <x:f>IF(H158=0,0,IF(B158&lt;='今日の3件'!$C$5+7-WEEKDAY('今日の3件'!$C$5,2),C158,0))</x:f>
        <x:v>0</x:v>
      </x:c>
      <x:c r="J158" s="67" t="n">
        <x:f>IF(E158="入力確認",1,0)</x:f>
        <x:v>0</x:v>
      </x:c>
      <x:c r="K158" s="67" t="n">
        <x:f>IF(AND(A158&lt;&gt;"",D158="完了"),1,0)</x:f>
        <x:v>0</x:v>
      </x:c>
      <x:c r="L158" s="67" t="n">
        <x:f>IF(A158="",0,1)</x:f>
        <x:v>0</x:v>
      </x:c>
      <x:c r="M158" s="67" t="n">
        <x:f>IF(E158="期限超過",1,0)</x:f>
        <x:v>0</x:v>
      </x:c>
    </x:row>
    <x:row r="159" ht="28" customHeight="1">
      <x:c r="A159" s="62"/>
      <x:c r="B159" s="63"/>
      <x:c r="C159" s="65"/>
      <x:c r="D159" s="61"/>
      <x:c r="E159" s="49" t="str">
        <x:f>IF(A159="","",IF(D159="完了","完了",IF(AND(ISNUMBER(B159),B159&gt;=DATE(2000,1,1),B159&lt;=DATE(2100,12,31),ISNUMBER(C159),C159&gt;0,C159&lt;=100000,C159=INT(C159),OR(D159="未着手",D159="進行中")),IF(INT(B159)&lt;'今日の3件'!$C$5,"期限超過",IF(INT(B159)='今日の3件'!$C$5,"今日締切",IF(INT(B159)&lt;='今日の3件'!$C$5+3,"3日以内","これから"))),"入力確認")))</x:f>
      </x:c>
      <x:c r="F159" s="61"/>
      <x:c r="G159" s="66" t="n">
        <x:f>IF(OR(A159="",D159="完了",E159="入力確認"),999999999,INT(B159)*1000+ROW())</x:f>
        <x:v>999999999</x:v>
      </x:c>
      <x:c r="H159" s="66" t="n">
        <x:f>IF(G159=999999999,0,1)</x:f>
        <x:v>0</x:v>
      </x:c>
      <x:c r="I159" s="67" t="n">
        <x:f>IF(H159=0,0,IF(B159&lt;='今日の3件'!$C$5+7-WEEKDAY('今日の3件'!$C$5,2),C159,0))</x:f>
        <x:v>0</x:v>
      </x:c>
      <x:c r="J159" s="67" t="n">
        <x:f>IF(E159="入力確認",1,0)</x:f>
        <x:v>0</x:v>
      </x:c>
      <x:c r="K159" s="67" t="n">
        <x:f>IF(AND(A159&lt;&gt;"",D159="完了"),1,0)</x:f>
        <x:v>0</x:v>
      </x:c>
      <x:c r="L159" s="67" t="n">
        <x:f>IF(A159="",0,1)</x:f>
        <x:v>0</x:v>
      </x:c>
      <x:c r="M159" s="67" t="n">
        <x:f>IF(E159="期限超過",1,0)</x:f>
        <x:v>0</x:v>
      </x:c>
    </x:row>
    <x:row r="160" ht="28" customHeight="1">
      <x:c r="A160" s="62"/>
      <x:c r="B160" s="63"/>
      <x:c r="C160" s="65"/>
      <x:c r="D160" s="61"/>
      <x:c r="E160" s="49" t="str">
        <x:f>IF(A160="","",IF(D160="完了","完了",IF(AND(ISNUMBER(B160),B160&gt;=DATE(2000,1,1),B160&lt;=DATE(2100,12,31),ISNUMBER(C160),C160&gt;0,C160&lt;=100000,C160=INT(C160),OR(D160="未着手",D160="進行中")),IF(INT(B160)&lt;'今日の3件'!$C$5,"期限超過",IF(INT(B160)='今日の3件'!$C$5,"今日締切",IF(INT(B160)&lt;='今日の3件'!$C$5+3,"3日以内","これから"))),"入力確認")))</x:f>
      </x:c>
      <x:c r="F160" s="61"/>
      <x:c r="G160" s="66" t="n">
        <x:f>IF(OR(A160="",D160="完了",E160="入力確認"),999999999,INT(B160)*1000+ROW())</x:f>
        <x:v>999999999</x:v>
      </x:c>
      <x:c r="H160" s="66" t="n">
        <x:f>IF(G160=999999999,0,1)</x:f>
        <x:v>0</x:v>
      </x:c>
      <x:c r="I160" s="67" t="n">
        <x:f>IF(H160=0,0,IF(B160&lt;='今日の3件'!$C$5+7-WEEKDAY('今日の3件'!$C$5,2),C160,0))</x:f>
        <x:v>0</x:v>
      </x:c>
      <x:c r="J160" s="67" t="n">
        <x:f>IF(E160="入力確認",1,0)</x:f>
        <x:v>0</x:v>
      </x:c>
      <x:c r="K160" s="67" t="n">
        <x:f>IF(AND(A160&lt;&gt;"",D160="完了"),1,0)</x:f>
        <x:v>0</x:v>
      </x:c>
      <x:c r="L160" s="67" t="n">
        <x:f>IF(A160="",0,1)</x:f>
        <x:v>0</x:v>
      </x:c>
      <x:c r="M160" s="67" t="n">
        <x:f>IF(E160="期限超過",1,0)</x:f>
        <x:v>0</x:v>
      </x:c>
    </x:row>
    <x:row r="161" ht="28" customHeight="1">
      <x:c r="A161" s="62"/>
      <x:c r="B161" s="63"/>
      <x:c r="C161" s="65"/>
      <x:c r="D161" s="61"/>
      <x:c r="E161" s="49" t="str">
        <x:f>IF(A161="","",IF(D161="完了","完了",IF(AND(ISNUMBER(B161),B161&gt;=DATE(2000,1,1),B161&lt;=DATE(2100,12,31),ISNUMBER(C161),C161&gt;0,C161&lt;=100000,C161=INT(C161),OR(D161="未着手",D161="進行中")),IF(INT(B161)&lt;'今日の3件'!$C$5,"期限超過",IF(INT(B161)='今日の3件'!$C$5,"今日締切",IF(INT(B161)&lt;='今日の3件'!$C$5+3,"3日以内","これから"))),"入力確認")))</x:f>
      </x:c>
      <x:c r="F161" s="61"/>
      <x:c r="G161" s="66" t="n">
        <x:f>IF(OR(A161="",D161="完了",E161="入力確認"),999999999,INT(B161)*1000+ROW())</x:f>
        <x:v>999999999</x:v>
      </x:c>
      <x:c r="H161" s="66" t="n">
        <x:f>IF(G161=999999999,0,1)</x:f>
        <x:v>0</x:v>
      </x:c>
      <x:c r="I161" s="67" t="n">
        <x:f>IF(H161=0,0,IF(B161&lt;='今日の3件'!$C$5+7-WEEKDAY('今日の3件'!$C$5,2),C161,0))</x:f>
        <x:v>0</x:v>
      </x:c>
      <x:c r="J161" s="67" t="n">
        <x:f>IF(E161="入力確認",1,0)</x:f>
        <x:v>0</x:v>
      </x:c>
      <x:c r="K161" s="67" t="n">
        <x:f>IF(AND(A161&lt;&gt;"",D161="完了"),1,0)</x:f>
        <x:v>0</x:v>
      </x:c>
      <x:c r="L161" s="67" t="n">
        <x:f>IF(A161="",0,1)</x:f>
        <x:v>0</x:v>
      </x:c>
      <x:c r="M161" s="67" t="n">
        <x:f>IF(E161="期限超過",1,0)</x:f>
        <x:v>0</x:v>
      </x:c>
    </x:row>
    <x:row r="162" ht="28" customHeight="1">
      <x:c r="A162" s="62"/>
      <x:c r="B162" s="63"/>
      <x:c r="C162" s="65"/>
      <x:c r="D162" s="61"/>
      <x:c r="E162" s="49" t="str">
        <x:f>IF(A162="","",IF(D162="完了","完了",IF(AND(ISNUMBER(B162),B162&gt;=DATE(2000,1,1),B162&lt;=DATE(2100,12,31),ISNUMBER(C162),C162&gt;0,C162&lt;=100000,C162=INT(C162),OR(D162="未着手",D162="進行中")),IF(INT(B162)&lt;'今日の3件'!$C$5,"期限超過",IF(INT(B162)='今日の3件'!$C$5,"今日締切",IF(INT(B162)&lt;='今日の3件'!$C$5+3,"3日以内","これから"))),"入力確認")))</x:f>
      </x:c>
      <x:c r="F162" s="61"/>
      <x:c r="G162" s="66" t="n">
        <x:f>IF(OR(A162="",D162="完了",E162="入力確認"),999999999,INT(B162)*1000+ROW())</x:f>
        <x:v>999999999</x:v>
      </x:c>
      <x:c r="H162" s="66" t="n">
        <x:f>IF(G162=999999999,0,1)</x:f>
        <x:v>0</x:v>
      </x:c>
      <x:c r="I162" s="67" t="n">
        <x:f>IF(H162=0,0,IF(B162&lt;='今日の3件'!$C$5+7-WEEKDAY('今日の3件'!$C$5,2),C162,0))</x:f>
        <x:v>0</x:v>
      </x:c>
      <x:c r="J162" s="67" t="n">
        <x:f>IF(E162="入力確認",1,0)</x:f>
        <x:v>0</x:v>
      </x:c>
      <x:c r="K162" s="67" t="n">
        <x:f>IF(AND(A162&lt;&gt;"",D162="完了"),1,0)</x:f>
        <x:v>0</x:v>
      </x:c>
      <x:c r="L162" s="67" t="n">
        <x:f>IF(A162="",0,1)</x:f>
        <x:v>0</x:v>
      </x:c>
      <x:c r="M162" s="67" t="n">
        <x:f>IF(E162="期限超過",1,0)</x:f>
        <x:v>0</x:v>
      </x:c>
    </x:row>
    <x:row r="163" ht="28" customHeight="1">
      <x:c r="A163" s="62"/>
      <x:c r="B163" s="63"/>
      <x:c r="C163" s="65"/>
      <x:c r="D163" s="61"/>
      <x:c r="E163" s="49" t="str">
        <x:f>IF(A163="","",IF(D163="完了","完了",IF(AND(ISNUMBER(B163),B163&gt;=DATE(2000,1,1),B163&lt;=DATE(2100,12,31),ISNUMBER(C163),C163&gt;0,C163&lt;=100000,C163=INT(C163),OR(D163="未着手",D163="進行中")),IF(INT(B163)&lt;'今日の3件'!$C$5,"期限超過",IF(INT(B163)='今日の3件'!$C$5,"今日締切",IF(INT(B163)&lt;='今日の3件'!$C$5+3,"3日以内","これから"))),"入力確認")))</x:f>
      </x:c>
      <x:c r="F163" s="61"/>
      <x:c r="G163" s="66" t="n">
        <x:f>IF(OR(A163="",D163="完了",E163="入力確認"),999999999,INT(B163)*1000+ROW())</x:f>
        <x:v>999999999</x:v>
      </x:c>
      <x:c r="H163" s="66" t="n">
        <x:f>IF(G163=999999999,0,1)</x:f>
        <x:v>0</x:v>
      </x:c>
      <x:c r="I163" s="67" t="n">
        <x:f>IF(H163=0,0,IF(B163&lt;='今日の3件'!$C$5+7-WEEKDAY('今日の3件'!$C$5,2),C163,0))</x:f>
        <x:v>0</x:v>
      </x:c>
      <x:c r="J163" s="67" t="n">
        <x:f>IF(E163="入力確認",1,0)</x:f>
        <x:v>0</x:v>
      </x:c>
      <x:c r="K163" s="67" t="n">
        <x:f>IF(AND(A163&lt;&gt;"",D163="完了"),1,0)</x:f>
        <x:v>0</x:v>
      </x:c>
      <x:c r="L163" s="67" t="n">
        <x:f>IF(A163="",0,1)</x:f>
        <x:v>0</x:v>
      </x:c>
      <x:c r="M163" s="67" t="n">
        <x:f>IF(E163="期限超過",1,0)</x:f>
        <x:v>0</x:v>
      </x:c>
    </x:row>
    <x:row r="164" ht="28" customHeight="1">
      <x:c r="A164" s="62"/>
      <x:c r="B164" s="63"/>
      <x:c r="C164" s="65"/>
      <x:c r="D164" s="61"/>
      <x:c r="E164" s="49" t="str">
        <x:f>IF(A164="","",IF(D164="完了","完了",IF(AND(ISNUMBER(B164),B164&gt;=DATE(2000,1,1),B164&lt;=DATE(2100,12,31),ISNUMBER(C164),C164&gt;0,C164&lt;=100000,C164=INT(C164),OR(D164="未着手",D164="進行中")),IF(INT(B164)&lt;'今日の3件'!$C$5,"期限超過",IF(INT(B164)='今日の3件'!$C$5,"今日締切",IF(INT(B164)&lt;='今日の3件'!$C$5+3,"3日以内","これから"))),"入力確認")))</x:f>
      </x:c>
      <x:c r="F164" s="61"/>
      <x:c r="G164" s="66" t="n">
        <x:f>IF(OR(A164="",D164="完了",E164="入力確認"),999999999,INT(B164)*1000+ROW())</x:f>
        <x:v>999999999</x:v>
      </x:c>
      <x:c r="H164" s="66" t="n">
        <x:f>IF(G164=999999999,0,1)</x:f>
        <x:v>0</x:v>
      </x:c>
      <x:c r="I164" s="67" t="n">
        <x:f>IF(H164=0,0,IF(B164&lt;='今日の3件'!$C$5+7-WEEKDAY('今日の3件'!$C$5,2),C164,0))</x:f>
        <x:v>0</x:v>
      </x:c>
      <x:c r="J164" s="67" t="n">
        <x:f>IF(E164="入力確認",1,0)</x:f>
        <x:v>0</x:v>
      </x:c>
      <x:c r="K164" s="67" t="n">
        <x:f>IF(AND(A164&lt;&gt;"",D164="完了"),1,0)</x:f>
        <x:v>0</x:v>
      </x:c>
      <x:c r="L164" s="67" t="n">
        <x:f>IF(A164="",0,1)</x:f>
        <x:v>0</x:v>
      </x:c>
      <x:c r="M164" s="67" t="n">
        <x:f>IF(E164="期限超過",1,0)</x:f>
        <x:v>0</x:v>
      </x:c>
    </x:row>
    <x:row r="165" ht="28" customHeight="1">
      <x:c r="A165" s="62"/>
      <x:c r="B165" s="63"/>
      <x:c r="C165" s="65"/>
      <x:c r="D165" s="61"/>
      <x:c r="E165" s="49" t="str">
        <x:f>IF(A165="","",IF(D165="完了","完了",IF(AND(ISNUMBER(B165),B165&gt;=DATE(2000,1,1),B165&lt;=DATE(2100,12,31),ISNUMBER(C165),C165&gt;0,C165&lt;=100000,C165=INT(C165),OR(D165="未着手",D165="進行中")),IF(INT(B165)&lt;'今日の3件'!$C$5,"期限超過",IF(INT(B165)='今日の3件'!$C$5,"今日締切",IF(INT(B165)&lt;='今日の3件'!$C$5+3,"3日以内","これから"))),"入力確認")))</x:f>
      </x:c>
      <x:c r="F165" s="61"/>
      <x:c r="G165" s="66" t="n">
        <x:f>IF(OR(A165="",D165="完了",E165="入力確認"),999999999,INT(B165)*1000+ROW())</x:f>
        <x:v>999999999</x:v>
      </x:c>
      <x:c r="H165" s="66" t="n">
        <x:f>IF(G165=999999999,0,1)</x:f>
        <x:v>0</x:v>
      </x:c>
      <x:c r="I165" s="67" t="n">
        <x:f>IF(H165=0,0,IF(B165&lt;='今日の3件'!$C$5+7-WEEKDAY('今日の3件'!$C$5,2),C165,0))</x:f>
        <x:v>0</x:v>
      </x:c>
      <x:c r="J165" s="67" t="n">
        <x:f>IF(E165="入力確認",1,0)</x:f>
        <x:v>0</x:v>
      </x:c>
      <x:c r="K165" s="67" t="n">
        <x:f>IF(AND(A165&lt;&gt;"",D165="完了"),1,0)</x:f>
        <x:v>0</x:v>
      </x:c>
      <x:c r="L165" s="67" t="n">
        <x:f>IF(A165="",0,1)</x:f>
        <x:v>0</x:v>
      </x:c>
      <x:c r="M165" s="67" t="n">
        <x:f>IF(E165="期限超過",1,0)</x:f>
        <x:v>0</x:v>
      </x:c>
    </x:row>
    <x:row r="166" ht="28" customHeight="1">
      <x:c r="A166" s="62"/>
      <x:c r="B166" s="63"/>
      <x:c r="C166" s="65"/>
      <x:c r="D166" s="61"/>
      <x:c r="E166" s="49" t="str">
        <x:f>IF(A166="","",IF(D166="完了","完了",IF(AND(ISNUMBER(B166),B166&gt;=DATE(2000,1,1),B166&lt;=DATE(2100,12,31),ISNUMBER(C166),C166&gt;0,C166&lt;=100000,C166=INT(C166),OR(D166="未着手",D166="進行中")),IF(INT(B166)&lt;'今日の3件'!$C$5,"期限超過",IF(INT(B166)='今日の3件'!$C$5,"今日締切",IF(INT(B166)&lt;='今日の3件'!$C$5+3,"3日以内","これから"))),"入力確認")))</x:f>
      </x:c>
      <x:c r="F166" s="61"/>
      <x:c r="G166" s="66" t="n">
        <x:f>IF(OR(A166="",D166="完了",E166="入力確認"),999999999,INT(B166)*1000+ROW())</x:f>
        <x:v>999999999</x:v>
      </x:c>
      <x:c r="H166" s="66" t="n">
        <x:f>IF(G166=999999999,0,1)</x:f>
        <x:v>0</x:v>
      </x:c>
      <x:c r="I166" s="67" t="n">
        <x:f>IF(H166=0,0,IF(B166&lt;='今日の3件'!$C$5+7-WEEKDAY('今日の3件'!$C$5,2),C166,0))</x:f>
        <x:v>0</x:v>
      </x:c>
      <x:c r="J166" s="67" t="n">
        <x:f>IF(E166="入力確認",1,0)</x:f>
        <x:v>0</x:v>
      </x:c>
      <x:c r="K166" s="67" t="n">
        <x:f>IF(AND(A166&lt;&gt;"",D166="完了"),1,0)</x:f>
        <x:v>0</x:v>
      </x:c>
      <x:c r="L166" s="67" t="n">
        <x:f>IF(A166="",0,1)</x:f>
        <x:v>0</x:v>
      </x:c>
      <x:c r="M166" s="67" t="n">
        <x:f>IF(E166="期限超過",1,0)</x:f>
        <x:v>0</x:v>
      </x:c>
    </x:row>
    <x:row r="167" ht="28" customHeight="1">
      <x:c r="A167" s="62"/>
      <x:c r="B167" s="63"/>
      <x:c r="C167" s="65"/>
      <x:c r="D167" s="61"/>
      <x:c r="E167" s="49" t="str">
        <x:f>IF(A167="","",IF(D167="完了","完了",IF(AND(ISNUMBER(B167),B167&gt;=DATE(2000,1,1),B167&lt;=DATE(2100,12,31),ISNUMBER(C167),C167&gt;0,C167&lt;=100000,C167=INT(C167),OR(D167="未着手",D167="進行中")),IF(INT(B167)&lt;'今日の3件'!$C$5,"期限超過",IF(INT(B167)='今日の3件'!$C$5,"今日締切",IF(INT(B167)&lt;='今日の3件'!$C$5+3,"3日以内","これから"))),"入力確認")))</x:f>
      </x:c>
      <x:c r="F167" s="61"/>
      <x:c r="G167" s="66" t="n">
        <x:f>IF(OR(A167="",D167="完了",E167="入力確認"),999999999,INT(B167)*1000+ROW())</x:f>
        <x:v>999999999</x:v>
      </x:c>
      <x:c r="H167" s="66" t="n">
        <x:f>IF(G167=999999999,0,1)</x:f>
        <x:v>0</x:v>
      </x:c>
      <x:c r="I167" s="67" t="n">
        <x:f>IF(H167=0,0,IF(B167&lt;='今日の3件'!$C$5+7-WEEKDAY('今日の3件'!$C$5,2),C167,0))</x:f>
        <x:v>0</x:v>
      </x:c>
      <x:c r="J167" s="67" t="n">
        <x:f>IF(E167="入力確認",1,0)</x:f>
        <x:v>0</x:v>
      </x:c>
      <x:c r="K167" s="67" t="n">
        <x:f>IF(AND(A167&lt;&gt;"",D167="完了"),1,0)</x:f>
        <x:v>0</x:v>
      </x:c>
      <x:c r="L167" s="67" t="n">
        <x:f>IF(A167="",0,1)</x:f>
        <x:v>0</x:v>
      </x:c>
      <x:c r="M167" s="67" t="n">
        <x:f>IF(E167="期限超過",1,0)</x:f>
        <x:v>0</x:v>
      </x:c>
    </x:row>
    <x:row r="168" ht="28" customHeight="1">
      <x:c r="A168" s="62"/>
      <x:c r="B168" s="63"/>
      <x:c r="C168" s="65"/>
      <x:c r="D168" s="61"/>
      <x:c r="E168" s="49" t="str">
        <x:f>IF(A168="","",IF(D168="完了","完了",IF(AND(ISNUMBER(B168),B168&gt;=DATE(2000,1,1),B168&lt;=DATE(2100,12,31),ISNUMBER(C168),C168&gt;0,C168&lt;=100000,C168=INT(C168),OR(D168="未着手",D168="進行中")),IF(INT(B168)&lt;'今日の3件'!$C$5,"期限超過",IF(INT(B168)='今日の3件'!$C$5,"今日締切",IF(INT(B168)&lt;='今日の3件'!$C$5+3,"3日以内","これから"))),"入力確認")))</x:f>
      </x:c>
      <x:c r="F168" s="61"/>
      <x:c r="G168" s="66" t="n">
        <x:f>IF(OR(A168="",D168="完了",E168="入力確認"),999999999,INT(B168)*1000+ROW())</x:f>
        <x:v>999999999</x:v>
      </x:c>
      <x:c r="H168" s="66" t="n">
        <x:f>IF(G168=999999999,0,1)</x:f>
        <x:v>0</x:v>
      </x:c>
      <x:c r="I168" s="67" t="n">
        <x:f>IF(H168=0,0,IF(B168&lt;='今日の3件'!$C$5+7-WEEKDAY('今日の3件'!$C$5,2),C168,0))</x:f>
        <x:v>0</x:v>
      </x:c>
      <x:c r="J168" s="67" t="n">
        <x:f>IF(E168="入力確認",1,0)</x:f>
        <x:v>0</x:v>
      </x:c>
      <x:c r="K168" s="67" t="n">
        <x:f>IF(AND(A168&lt;&gt;"",D168="完了"),1,0)</x:f>
        <x:v>0</x:v>
      </x:c>
      <x:c r="L168" s="67" t="n">
        <x:f>IF(A168="",0,1)</x:f>
        <x:v>0</x:v>
      </x:c>
      <x:c r="M168" s="67" t="n">
        <x:f>IF(E168="期限超過",1,0)</x:f>
        <x:v>0</x:v>
      </x:c>
    </x:row>
    <x:row r="169" ht="28" customHeight="1">
      <x:c r="A169" s="62"/>
      <x:c r="B169" s="63"/>
      <x:c r="C169" s="65"/>
      <x:c r="D169" s="61"/>
      <x:c r="E169" s="49" t="str">
        <x:f>IF(A169="","",IF(D169="完了","完了",IF(AND(ISNUMBER(B169),B169&gt;=DATE(2000,1,1),B169&lt;=DATE(2100,12,31),ISNUMBER(C169),C169&gt;0,C169&lt;=100000,C169=INT(C169),OR(D169="未着手",D169="進行中")),IF(INT(B169)&lt;'今日の3件'!$C$5,"期限超過",IF(INT(B169)='今日の3件'!$C$5,"今日締切",IF(INT(B169)&lt;='今日の3件'!$C$5+3,"3日以内","これから"))),"入力確認")))</x:f>
      </x:c>
      <x:c r="F169" s="61"/>
      <x:c r="G169" s="66" t="n">
        <x:f>IF(OR(A169="",D169="完了",E169="入力確認"),999999999,INT(B169)*1000+ROW())</x:f>
        <x:v>999999999</x:v>
      </x:c>
      <x:c r="H169" s="66" t="n">
        <x:f>IF(G169=999999999,0,1)</x:f>
        <x:v>0</x:v>
      </x:c>
      <x:c r="I169" s="67" t="n">
        <x:f>IF(H169=0,0,IF(B169&lt;='今日の3件'!$C$5+7-WEEKDAY('今日の3件'!$C$5,2),C169,0))</x:f>
        <x:v>0</x:v>
      </x:c>
      <x:c r="J169" s="67" t="n">
        <x:f>IF(E169="入力確認",1,0)</x:f>
        <x:v>0</x:v>
      </x:c>
      <x:c r="K169" s="67" t="n">
        <x:f>IF(AND(A169&lt;&gt;"",D169="完了"),1,0)</x:f>
        <x:v>0</x:v>
      </x:c>
      <x:c r="L169" s="67" t="n">
        <x:f>IF(A169="",0,1)</x:f>
        <x:v>0</x:v>
      </x:c>
      <x:c r="M169" s="67" t="n">
        <x:f>IF(E169="期限超過",1,0)</x:f>
        <x:v>0</x:v>
      </x:c>
    </x:row>
    <x:row r="170" ht="28" customHeight="1">
      <x:c r="A170" s="62"/>
      <x:c r="B170" s="63"/>
      <x:c r="C170" s="65"/>
      <x:c r="D170" s="61"/>
      <x:c r="E170" s="49" t="str">
        <x:f>IF(A170="","",IF(D170="完了","完了",IF(AND(ISNUMBER(B170),B170&gt;=DATE(2000,1,1),B170&lt;=DATE(2100,12,31),ISNUMBER(C170),C170&gt;0,C170&lt;=100000,C170=INT(C170),OR(D170="未着手",D170="進行中")),IF(INT(B170)&lt;'今日の3件'!$C$5,"期限超過",IF(INT(B170)='今日の3件'!$C$5,"今日締切",IF(INT(B170)&lt;='今日の3件'!$C$5+3,"3日以内","これから"))),"入力確認")))</x:f>
      </x:c>
      <x:c r="F170" s="61"/>
      <x:c r="G170" s="66" t="n">
        <x:f>IF(OR(A170="",D170="完了",E170="入力確認"),999999999,INT(B170)*1000+ROW())</x:f>
        <x:v>999999999</x:v>
      </x:c>
      <x:c r="H170" s="66" t="n">
        <x:f>IF(G170=999999999,0,1)</x:f>
        <x:v>0</x:v>
      </x:c>
      <x:c r="I170" s="67" t="n">
        <x:f>IF(H170=0,0,IF(B170&lt;='今日の3件'!$C$5+7-WEEKDAY('今日の3件'!$C$5,2),C170,0))</x:f>
        <x:v>0</x:v>
      </x:c>
      <x:c r="J170" s="67" t="n">
        <x:f>IF(E170="入力確認",1,0)</x:f>
        <x:v>0</x:v>
      </x:c>
      <x:c r="K170" s="67" t="n">
        <x:f>IF(AND(A170&lt;&gt;"",D170="完了"),1,0)</x:f>
        <x:v>0</x:v>
      </x:c>
      <x:c r="L170" s="67" t="n">
        <x:f>IF(A170="",0,1)</x:f>
        <x:v>0</x:v>
      </x:c>
      <x:c r="M170" s="67" t="n">
        <x:f>IF(E170="期限超過",1,0)</x:f>
        <x:v>0</x:v>
      </x:c>
    </x:row>
    <x:row r="171" ht="28" customHeight="1">
      <x:c r="A171" s="62"/>
      <x:c r="B171" s="63"/>
      <x:c r="C171" s="65"/>
      <x:c r="D171" s="61"/>
      <x:c r="E171" s="49" t="str">
        <x:f>IF(A171="","",IF(D171="完了","完了",IF(AND(ISNUMBER(B171),B171&gt;=DATE(2000,1,1),B171&lt;=DATE(2100,12,31),ISNUMBER(C171),C171&gt;0,C171&lt;=100000,C171=INT(C171),OR(D171="未着手",D171="進行中")),IF(INT(B171)&lt;'今日の3件'!$C$5,"期限超過",IF(INT(B171)='今日の3件'!$C$5,"今日締切",IF(INT(B171)&lt;='今日の3件'!$C$5+3,"3日以内","これから"))),"入力確認")))</x:f>
      </x:c>
      <x:c r="F171" s="61"/>
      <x:c r="G171" s="66" t="n">
        <x:f>IF(OR(A171="",D171="完了",E171="入力確認"),999999999,INT(B171)*1000+ROW())</x:f>
        <x:v>999999999</x:v>
      </x:c>
      <x:c r="H171" s="66" t="n">
        <x:f>IF(G171=999999999,0,1)</x:f>
        <x:v>0</x:v>
      </x:c>
      <x:c r="I171" s="67" t="n">
        <x:f>IF(H171=0,0,IF(B171&lt;='今日の3件'!$C$5+7-WEEKDAY('今日の3件'!$C$5,2),C171,0))</x:f>
        <x:v>0</x:v>
      </x:c>
      <x:c r="J171" s="67" t="n">
        <x:f>IF(E171="入力確認",1,0)</x:f>
        <x:v>0</x:v>
      </x:c>
      <x:c r="K171" s="67" t="n">
        <x:f>IF(AND(A171&lt;&gt;"",D171="完了"),1,0)</x:f>
        <x:v>0</x:v>
      </x:c>
      <x:c r="L171" s="67" t="n">
        <x:f>IF(A171="",0,1)</x:f>
        <x:v>0</x:v>
      </x:c>
      <x:c r="M171" s="67" t="n">
        <x:f>IF(E171="期限超過",1,0)</x:f>
        <x:v>0</x:v>
      </x:c>
    </x:row>
    <x:row r="172" ht="28" customHeight="1">
      <x:c r="A172" s="62"/>
      <x:c r="B172" s="63"/>
      <x:c r="C172" s="65"/>
      <x:c r="D172" s="61"/>
      <x:c r="E172" s="49" t="str">
        <x:f>IF(A172="","",IF(D172="完了","完了",IF(AND(ISNUMBER(B172),B172&gt;=DATE(2000,1,1),B172&lt;=DATE(2100,12,31),ISNUMBER(C172),C172&gt;0,C172&lt;=100000,C172=INT(C172),OR(D172="未着手",D172="進行中")),IF(INT(B172)&lt;'今日の3件'!$C$5,"期限超過",IF(INT(B172)='今日の3件'!$C$5,"今日締切",IF(INT(B172)&lt;='今日の3件'!$C$5+3,"3日以内","これから"))),"入力確認")))</x:f>
      </x:c>
      <x:c r="F172" s="61"/>
      <x:c r="G172" s="66" t="n">
        <x:f>IF(OR(A172="",D172="完了",E172="入力確認"),999999999,INT(B172)*1000+ROW())</x:f>
        <x:v>999999999</x:v>
      </x:c>
      <x:c r="H172" s="66" t="n">
        <x:f>IF(G172=999999999,0,1)</x:f>
        <x:v>0</x:v>
      </x:c>
      <x:c r="I172" s="67" t="n">
        <x:f>IF(H172=0,0,IF(B172&lt;='今日の3件'!$C$5+7-WEEKDAY('今日の3件'!$C$5,2),C172,0))</x:f>
        <x:v>0</x:v>
      </x:c>
      <x:c r="J172" s="67" t="n">
        <x:f>IF(E172="入力確認",1,0)</x:f>
        <x:v>0</x:v>
      </x:c>
      <x:c r="K172" s="67" t="n">
        <x:f>IF(AND(A172&lt;&gt;"",D172="完了"),1,0)</x:f>
        <x:v>0</x:v>
      </x:c>
      <x:c r="L172" s="67" t="n">
        <x:f>IF(A172="",0,1)</x:f>
        <x:v>0</x:v>
      </x:c>
      <x:c r="M172" s="67" t="n">
        <x:f>IF(E172="期限超過",1,0)</x:f>
        <x:v>0</x:v>
      </x:c>
    </x:row>
    <x:row r="173" ht="28" customHeight="1">
      <x:c r="A173" s="62"/>
      <x:c r="B173" s="63"/>
      <x:c r="C173" s="65"/>
      <x:c r="D173" s="61"/>
      <x:c r="E173" s="49" t="str">
        <x:f>IF(A173="","",IF(D173="完了","完了",IF(AND(ISNUMBER(B173),B173&gt;=DATE(2000,1,1),B173&lt;=DATE(2100,12,31),ISNUMBER(C173),C173&gt;0,C173&lt;=100000,C173=INT(C173),OR(D173="未着手",D173="進行中")),IF(INT(B173)&lt;'今日の3件'!$C$5,"期限超過",IF(INT(B173)='今日の3件'!$C$5,"今日締切",IF(INT(B173)&lt;='今日の3件'!$C$5+3,"3日以内","これから"))),"入力確認")))</x:f>
      </x:c>
      <x:c r="F173" s="61"/>
      <x:c r="G173" s="66" t="n">
        <x:f>IF(OR(A173="",D173="完了",E173="入力確認"),999999999,INT(B173)*1000+ROW())</x:f>
        <x:v>999999999</x:v>
      </x:c>
      <x:c r="H173" s="66" t="n">
        <x:f>IF(G173=999999999,0,1)</x:f>
        <x:v>0</x:v>
      </x:c>
      <x:c r="I173" s="67" t="n">
        <x:f>IF(H173=0,0,IF(B173&lt;='今日の3件'!$C$5+7-WEEKDAY('今日の3件'!$C$5,2),C173,0))</x:f>
        <x:v>0</x:v>
      </x:c>
      <x:c r="J173" s="67" t="n">
        <x:f>IF(E173="入力確認",1,0)</x:f>
        <x:v>0</x:v>
      </x:c>
      <x:c r="K173" s="67" t="n">
        <x:f>IF(AND(A173&lt;&gt;"",D173="完了"),1,0)</x:f>
        <x:v>0</x:v>
      </x:c>
      <x:c r="L173" s="67" t="n">
        <x:f>IF(A173="",0,1)</x:f>
        <x:v>0</x:v>
      </x:c>
      <x:c r="M173" s="67" t="n">
        <x:f>IF(E173="期限超過",1,0)</x:f>
        <x:v>0</x:v>
      </x:c>
    </x:row>
    <x:row r="174" ht="28" customHeight="1">
      <x:c r="A174" s="62"/>
      <x:c r="B174" s="63"/>
      <x:c r="C174" s="65"/>
      <x:c r="D174" s="61"/>
      <x:c r="E174" s="49" t="str">
        <x:f>IF(A174="","",IF(D174="完了","完了",IF(AND(ISNUMBER(B174),B174&gt;=DATE(2000,1,1),B174&lt;=DATE(2100,12,31),ISNUMBER(C174),C174&gt;0,C174&lt;=100000,C174=INT(C174),OR(D174="未着手",D174="進行中")),IF(INT(B174)&lt;'今日の3件'!$C$5,"期限超過",IF(INT(B174)='今日の3件'!$C$5,"今日締切",IF(INT(B174)&lt;='今日の3件'!$C$5+3,"3日以内","これから"))),"入力確認")))</x:f>
      </x:c>
      <x:c r="F174" s="61"/>
      <x:c r="G174" s="66" t="n">
        <x:f>IF(OR(A174="",D174="完了",E174="入力確認"),999999999,INT(B174)*1000+ROW())</x:f>
        <x:v>999999999</x:v>
      </x:c>
      <x:c r="H174" s="66" t="n">
        <x:f>IF(G174=999999999,0,1)</x:f>
        <x:v>0</x:v>
      </x:c>
      <x:c r="I174" s="67" t="n">
        <x:f>IF(H174=0,0,IF(B174&lt;='今日の3件'!$C$5+7-WEEKDAY('今日の3件'!$C$5,2),C174,0))</x:f>
        <x:v>0</x:v>
      </x:c>
      <x:c r="J174" s="67" t="n">
        <x:f>IF(E174="入力確認",1,0)</x:f>
        <x:v>0</x:v>
      </x:c>
      <x:c r="K174" s="67" t="n">
        <x:f>IF(AND(A174&lt;&gt;"",D174="完了"),1,0)</x:f>
        <x:v>0</x:v>
      </x:c>
      <x:c r="L174" s="67" t="n">
        <x:f>IF(A174="",0,1)</x:f>
        <x:v>0</x:v>
      </x:c>
      <x:c r="M174" s="67" t="n">
        <x:f>IF(E174="期限超過",1,0)</x:f>
        <x:v>0</x:v>
      </x:c>
    </x:row>
    <x:row r="175" ht="28" customHeight="1">
      <x:c r="A175" s="62"/>
      <x:c r="B175" s="63"/>
      <x:c r="C175" s="65"/>
      <x:c r="D175" s="61"/>
      <x:c r="E175" s="49" t="str">
        <x:f>IF(A175="","",IF(D175="完了","完了",IF(AND(ISNUMBER(B175),B175&gt;=DATE(2000,1,1),B175&lt;=DATE(2100,12,31),ISNUMBER(C175),C175&gt;0,C175&lt;=100000,C175=INT(C175),OR(D175="未着手",D175="進行中")),IF(INT(B175)&lt;'今日の3件'!$C$5,"期限超過",IF(INT(B175)='今日の3件'!$C$5,"今日締切",IF(INT(B175)&lt;='今日の3件'!$C$5+3,"3日以内","これから"))),"入力確認")))</x:f>
      </x:c>
      <x:c r="F175" s="61"/>
      <x:c r="G175" s="66" t="n">
        <x:f>IF(OR(A175="",D175="完了",E175="入力確認"),999999999,INT(B175)*1000+ROW())</x:f>
        <x:v>999999999</x:v>
      </x:c>
      <x:c r="H175" s="66" t="n">
        <x:f>IF(G175=999999999,0,1)</x:f>
        <x:v>0</x:v>
      </x:c>
      <x:c r="I175" s="67" t="n">
        <x:f>IF(H175=0,0,IF(B175&lt;='今日の3件'!$C$5+7-WEEKDAY('今日の3件'!$C$5,2),C175,0))</x:f>
        <x:v>0</x:v>
      </x:c>
      <x:c r="J175" s="67" t="n">
        <x:f>IF(E175="入力確認",1,0)</x:f>
        <x:v>0</x:v>
      </x:c>
      <x:c r="K175" s="67" t="n">
        <x:f>IF(AND(A175&lt;&gt;"",D175="完了"),1,0)</x:f>
        <x:v>0</x:v>
      </x:c>
      <x:c r="L175" s="67" t="n">
        <x:f>IF(A175="",0,1)</x:f>
        <x:v>0</x:v>
      </x:c>
      <x:c r="M175" s="67" t="n">
        <x:f>IF(E175="期限超過",1,0)</x:f>
        <x:v>0</x:v>
      </x:c>
    </x:row>
    <x:row r="176" ht="28" customHeight="1">
      <x:c r="A176" s="62"/>
      <x:c r="B176" s="63"/>
      <x:c r="C176" s="65"/>
      <x:c r="D176" s="61"/>
      <x:c r="E176" s="49" t="str">
        <x:f>IF(A176="","",IF(D176="完了","完了",IF(AND(ISNUMBER(B176),B176&gt;=DATE(2000,1,1),B176&lt;=DATE(2100,12,31),ISNUMBER(C176),C176&gt;0,C176&lt;=100000,C176=INT(C176),OR(D176="未着手",D176="進行中")),IF(INT(B176)&lt;'今日の3件'!$C$5,"期限超過",IF(INT(B176)='今日の3件'!$C$5,"今日締切",IF(INT(B176)&lt;='今日の3件'!$C$5+3,"3日以内","これから"))),"入力確認")))</x:f>
      </x:c>
      <x:c r="F176" s="61"/>
      <x:c r="G176" s="66" t="n">
        <x:f>IF(OR(A176="",D176="完了",E176="入力確認"),999999999,INT(B176)*1000+ROW())</x:f>
        <x:v>999999999</x:v>
      </x:c>
      <x:c r="H176" s="66" t="n">
        <x:f>IF(G176=999999999,0,1)</x:f>
        <x:v>0</x:v>
      </x:c>
      <x:c r="I176" s="67" t="n">
        <x:f>IF(H176=0,0,IF(B176&lt;='今日の3件'!$C$5+7-WEEKDAY('今日の3件'!$C$5,2),C176,0))</x:f>
        <x:v>0</x:v>
      </x:c>
      <x:c r="J176" s="67" t="n">
        <x:f>IF(E176="入力確認",1,0)</x:f>
        <x:v>0</x:v>
      </x:c>
      <x:c r="K176" s="67" t="n">
        <x:f>IF(AND(A176&lt;&gt;"",D176="完了"),1,0)</x:f>
        <x:v>0</x:v>
      </x:c>
      <x:c r="L176" s="67" t="n">
        <x:f>IF(A176="",0,1)</x:f>
        <x:v>0</x:v>
      </x:c>
      <x:c r="M176" s="67" t="n">
        <x:f>IF(E176="期限超過",1,0)</x:f>
        <x:v>0</x:v>
      </x:c>
    </x:row>
    <x:row r="177" ht="28" customHeight="1">
      <x:c r="A177" s="62"/>
      <x:c r="B177" s="63"/>
      <x:c r="C177" s="65"/>
      <x:c r="D177" s="61"/>
      <x:c r="E177" s="49" t="str">
        <x:f>IF(A177="","",IF(D177="完了","完了",IF(AND(ISNUMBER(B177),B177&gt;=DATE(2000,1,1),B177&lt;=DATE(2100,12,31),ISNUMBER(C177),C177&gt;0,C177&lt;=100000,C177=INT(C177),OR(D177="未着手",D177="進行中")),IF(INT(B177)&lt;'今日の3件'!$C$5,"期限超過",IF(INT(B177)='今日の3件'!$C$5,"今日締切",IF(INT(B177)&lt;='今日の3件'!$C$5+3,"3日以内","これから"))),"入力確認")))</x:f>
      </x:c>
      <x:c r="F177" s="61"/>
      <x:c r="G177" s="66" t="n">
        <x:f>IF(OR(A177="",D177="完了",E177="入力確認"),999999999,INT(B177)*1000+ROW())</x:f>
        <x:v>999999999</x:v>
      </x:c>
      <x:c r="H177" s="66" t="n">
        <x:f>IF(G177=999999999,0,1)</x:f>
        <x:v>0</x:v>
      </x:c>
      <x:c r="I177" s="67" t="n">
        <x:f>IF(H177=0,0,IF(B177&lt;='今日の3件'!$C$5+7-WEEKDAY('今日の3件'!$C$5,2),C177,0))</x:f>
        <x:v>0</x:v>
      </x:c>
      <x:c r="J177" s="67" t="n">
        <x:f>IF(E177="入力確認",1,0)</x:f>
        <x:v>0</x:v>
      </x:c>
      <x:c r="K177" s="67" t="n">
        <x:f>IF(AND(A177&lt;&gt;"",D177="完了"),1,0)</x:f>
        <x:v>0</x:v>
      </x:c>
      <x:c r="L177" s="67" t="n">
        <x:f>IF(A177="",0,1)</x:f>
        <x:v>0</x:v>
      </x:c>
      <x:c r="M177" s="67" t="n">
        <x:f>IF(E177="期限超過",1,0)</x:f>
        <x:v>0</x:v>
      </x:c>
    </x:row>
    <x:row r="178" ht="28" customHeight="1">
      <x:c r="A178" s="62"/>
      <x:c r="B178" s="63"/>
      <x:c r="C178" s="65"/>
      <x:c r="D178" s="61"/>
      <x:c r="E178" s="49" t="str">
        <x:f>IF(A178="","",IF(D178="完了","完了",IF(AND(ISNUMBER(B178),B178&gt;=DATE(2000,1,1),B178&lt;=DATE(2100,12,31),ISNUMBER(C178),C178&gt;0,C178&lt;=100000,C178=INT(C178),OR(D178="未着手",D178="進行中")),IF(INT(B178)&lt;'今日の3件'!$C$5,"期限超過",IF(INT(B178)='今日の3件'!$C$5,"今日締切",IF(INT(B178)&lt;='今日の3件'!$C$5+3,"3日以内","これから"))),"入力確認")))</x:f>
      </x:c>
      <x:c r="F178" s="61"/>
      <x:c r="G178" s="66" t="n">
        <x:f>IF(OR(A178="",D178="完了",E178="入力確認"),999999999,INT(B178)*1000+ROW())</x:f>
        <x:v>999999999</x:v>
      </x:c>
      <x:c r="H178" s="66" t="n">
        <x:f>IF(G178=999999999,0,1)</x:f>
        <x:v>0</x:v>
      </x:c>
      <x:c r="I178" s="67" t="n">
        <x:f>IF(H178=0,0,IF(B178&lt;='今日の3件'!$C$5+7-WEEKDAY('今日の3件'!$C$5,2),C178,0))</x:f>
        <x:v>0</x:v>
      </x:c>
      <x:c r="J178" s="67" t="n">
        <x:f>IF(E178="入力確認",1,0)</x:f>
        <x:v>0</x:v>
      </x:c>
      <x:c r="K178" s="67" t="n">
        <x:f>IF(AND(A178&lt;&gt;"",D178="完了"),1,0)</x:f>
        <x:v>0</x:v>
      </x:c>
      <x:c r="L178" s="67" t="n">
        <x:f>IF(A178="",0,1)</x:f>
        <x:v>0</x:v>
      </x:c>
      <x:c r="M178" s="67" t="n">
        <x:f>IF(E178="期限超過",1,0)</x:f>
        <x:v>0</x:v>
      </x:c>
    </x:row>
    <x:row r="179" ht="28" customHeight="1">
      <x:c r="A179" s="62"/>
      <x:c r="B179" s="63"/>
      <x:c r="C179" s="65"/>
      <x:c r="D179" s="61"/>
      <x:c r="E179" s="49" t="str">
        <x:f>IF(A179="","",IF(D179="完了","完了",IF(AND(ISNUMBER(B179),B179&gt;=DATE(2000,1,1),B179&lt;=DATE(2100,12,31),ISNUMBER(C179),C179&gt;0,C179&lt;=100000,C179=INT(C179),OR(D179="未着手",D179="進行中")),IF(INT(B179)&lt;'今日の3件'!$C$5,"期限超過",IF(INT(B179)='今日の3件'!$C$5,"今日締切",IF(INT(B179)&lt;='今日の3件'!$C$5+3,"3日以内","これから"))),"入力確認")))</x:f>
      </x:c>
      <x:c r="F179" s="61"/>
      <x:c r="G179" s="66" t="n">
        <x:f>IF(OR(A179="",D179="完了",E179="入力確認"),999999999,INT(B179)*1000+ROW())</x:f>
        <x:v>999999999</x:v>
      </x:c>
      <x:c r="H179" s="66" t="n">
        <x:f>IF(G179=999999999,0,1)</x:f>
        <x:v>0</x:v>
      </x:c>
      <x:c r="I179" s="67" t="n">
        <x:f>IF(H179=0,0,IF(B179&lt;='今日の3件'!$C$5+7-WEEKDAY('今日の3件'!$C$5,2),C179,0))</x:f>
        <x:v>0</x:v>
      </x:c>
      <x:c r="J179" s="67" t="n">
        <x:f>IF(E179="入力確認",1,0)</x:f>
        <x:v>0</x:v>
      </x:c>
      <x:c r="K179" s="67" t="n">
        <x:f>IF(AND(A179&lt;&gt;"",D179="完了"),1,0)</x:f>
        <x:v>0</x:v>
      </x:c>
      <x:c r="L179" s="67" t="n">
        <x:f>IF(A179="",0,1)</x:f>
        <x:v>0</x:v>
      </x:c>
      <x:c r="M179" s="67" t="n">
        <x:f>IF(E179="期限超過",1,0)</x:f>
        <x:v>0</x:v>
      </x:c>
    </x:row>
    <x:row r="180" ht="28" customHeight="1">
      <x:c r="A180" s="62"/>
      <x:c r="B180" s="63"/>
      <x:c r="C180" s="65"/>
      <x:c r="D180" s="61"/>
      <x:c r="E180" s="49" t="str">
        <x:f>IF(A180="","",IF(D180="完了","完了",IF(AND(ISNUMBER(B180),B180&gt;=DATE(2000,1,1),B180&lt;=DATE(2100,12,31),ISNUMBER(C180),C180&gt;0,C180&lt;=100000,C180=INT(C180),OR(D180="未着手",D180="進行中")),IF(INT(B180)&lt;'今日の3件'!$C$5,"期限超過",IF(INT(B180)='今日の3件'!$C$5,"今日締切",IF(INT(B180)&lt;='今日の3件'!$C$5+3,"3日以内","これから"))),"入力確認")))</x:f>
      </x:c>
      <x:c r="F180" s="61"/>
      <x:c r="G180" s="66" t="n">
        <x:f>IF(OR(A180="",D180="完了",E180="入力確認"),999999999,INT(B180)*1000+ROW())</x:f>
        <x:v>999999999</x:v>
      </x:c>
      <x:c r="H180" s="66" t="n">
        <x:f>IF(G180=999999999,0,1)</x:f>
        <x:v>0</x:v>
      </x:c>
      <x:c r="I180" s="67" t="n">
        <x:f>IF(H180=0,0,IF(B180&lt;='今日の3件'!$C$5+7-WEEKDAY('今日の3件'!$C$5,2),C180,0))</x:f>
        <x:v>0</x:v>
      </x:c>
      <x:c r="J180" s="67" t="n">
        <x:f>IF(E180="入力確認",1,0)</x:f>
        <x:v>0</x:v>
      </x:c>
      <x:c r="K180" s="67" t="n">
        <x:f>IF(AND(A180&lt;&gt;"",D180="完了"),1,0)</x:f>
        <x:v>0</x:v>
      </x:c>
      <x:c r="L180" s="67" t="n">
        <x:f>IF(A180="",0,1)</x:f>
        <x:v>0</x:v>
      </x:c>
      <x:c r="M180" s="67" t="n">
        <x:f>IF(E180="期限超過",1,0)</x:f>
        <x:v>0</x:v>
      </x:c>
    </x:row>
    <x:row r="181" ht="28" customHeight="1">
      <x:c r="A181" s="62"/>
      <x:c r="B181" s="63"/>
      <x:c r="C181" s="65"/>
      <x:c r="D181" s="61"/>
      <x:c r="E181" s="49" t="str">
        <x:f>IF(A181="","",IF(D181="完了","完了",IF(AND(ISNUMBER(B181),B181&gt;=DATE(2000,1,1),B181&lt;=DATE(2100,12,31),ISNUMBER(C181),C181&gt;0,C181&lt;=100000,C181=INT(C181),OR(D181="未着手",D181="進行中")),IF(INT(B181)&lt;'今日の3件'!$C$5,"期限超過",IF(INT(B181)='今日の3件'!$C$5,"今日締切",IF(INT(B181)&lt;='今日の3件'!$C$5+3,"3日以内","これから"))),"入力確認")))</x:f>
      </x:c>
      <x:c r="F181" s="61"/>
      <x:c r="G181" s="66" t="n">
        <x:f>IF(OR(A181="",D181="完了",E181="入力確認"),999999999,INT(B181)*1000+ROW())</x:f>
        <x:v>999999999</x:v>
      </x:c>
      <x:c r="H181" s="66" t="n">
        <x:f>IF(G181=999999999,0,1)</x:f>
        <x:v>0</x:v>
      </x:c>
      <x:c r="I181" s="67" t="n">
        <x:f>IF(H181=0,0,IF(B181&lt;='今日の3件'!$C$5+7-WEEKDAY('今日の3件'!$C$5,2),C181,0))</x:f>
        <x:v>0</x:v>
      </x:c>
      <x:c r="J181" s="67" t="n">
        <x:f>IF(E181="入力確認",1,0)</x:f>
        <x:v>0</x:v>
      </x:c>
      <x:c r="K181" s="67" t="n">
        <x:f>IF(AND(A181&lt;&gt;"",D181="完了"),1,0)</x:f>
        <x:v>0</x:v>
      </x:c>
      <x:c r="L181" s="67" t="n">
        <x:f>IF(A181="",0,1)</x:f>
        <x:v>0</x:v>
      </x:c>
      <x:c r="M181" s="67" t="n">
        <x:f>IF(E181="期限超過",1,0)</x:f>
        <x:v>0</x:v>
      </x:c>
    </x:row>
    <x:row r="182" ht="28" customHeight="1">
      <x:c r="A182" s="62"/>
      <x:c r="B182" s="63"/>
      <x:c r="C182" s="65"/>
      <x:c r="D182" s="61"/>
      <x:c r="E182" s="49" t="str">
        <x:f>IF(A182="","",IF(D182="完了","完了",IF(AND(ISNUMBER(B182),B182&gt;=DATE(2000,1,1),B182&lt;=DATE(2100,12,31),ISNUMBER(C182),C182&gt;0,C182&lt;=100000,C182=INT(C182),OR(D182="未着手",D182="進行中")),IF(INT(B182)&lt;'今日の3件'!$C$5,"期限超過",IF(INT(B182)='今日の3件'!$C$5,"今日締切",IF(INT(B182)&lt;='今日の3件'!$C$5+3,"3日以内","これから"))),"入力確認")))</x:f>
      </x:c>
      <x:c r="F182" s="61"/>
      <x:c r="G182" s="66" t="n">
        <x:f>IF(OR(A182="",D182="完了",E182="入力確認"),999999999,INT(B182)*1000+ROW())</x:f>
        <x:v>999999999</x:v>
      </x:c>
      <x:c r="H182" s="66" t="n">
        <x:f>IF(G182=999999999,0,1)</x:f>
        <x:v>0</x:v>
      </x:c>
      <x:c r="I182" s="67" t="n">
        <x:f>IF(H182=0,0,IF(B182&lt;='今日の3件'!$C$5+7-WEEKDAY('今日の3件'!$C$5,2),C182,0))</x:f>
        <x:v>0</x:v>
      </x:c>
      <x:c r="J182" s="67" t="n">
        <x:f>IF(E182="入力確認",1,0)</x:f>
        <x:v>0</x:v>
      </x:c>
      <x:c r="K182" s="67" t="n">
        <x:f>IF(AND(A182&lt;&gt;"",D182="完了"),1,0)</x:f>
        <x:v>0</x:v>
      </x:c>
      <x:c r="L182" s="67" t="n">
        <x:f>IF(A182="",0,1)</x:f>
        <x:v>0</x:v>
      </x:c>
      <x:c r="M182" s="67" t="n">
        <x:f>IF(E182="期限超過",1,0)</x:f>
        <x:v>0</x:v>
      </x:c>
    </x:row>
    <x:row r="183" ht="28" customHeight="1">
      <x:c r="A183" s="62"/>
      <x:c r="B183" s="63"/>
      <x:c r="C183" s="65"/>
      <x:c r="D183" s="61"/>
      <x:c r="E183" s="49" t="str">
        <x:f>IF(A183="","",IF(D183="完了","完了",IF(AND(ISNUMBER(B183),B183&gt;=DATE(2000,1,1),B183&lt;=DATE(2100,12,31),ISNUMBER(C183),C183&gt;0,C183&lt;=100000,C183=INT(C183),OR(D183="未着手",D183="進行中")),IF(INT(B183)&lt;'今日の3件'!$C$5,"期限超過",IF(INT(B183)='今日の3件'!$C$5,"今日締切",IF(INT(B183)&lt;='今日の3件'!$C$5+3,"3日以内","これから"))),"入力確認")))</x:f>
      </x:c>
      <x:c r="F183" s="61"/>
      <x:c r="G183" s="66" t="n">
        <x:f>IF(OR(A183="",D183="完了",E183="入力確認"),999999999,INT(B183)*1000+ROW())</x:f>
        <x:v>999999999</x:v>
      </x:c>
      <x:c r="H183" s="66" t="n">
        <x:f>IF(G183=999999999,0,1)</x:f>
        <x:v>0</x:v>
      </x:c>
      <x:c r="I183" s="67" t="n">
        <x:f>IF(H183=0,0,IF(B183&lt;='今日の3件'!$C$5+7-WEEKDAY('今日の3件'!$C$5,2),C183,0))</x:f>
        <x:v>0</x:v>
      </x:c>
      <x:c r="J183" s="67" t="n">
        <x:f>IF(E183="入力確認",1,0)</x:f>
        <x:v>0</x:v>
      </x:c>
      <x:c r="K183" s="67" t="n">
        <x:f>IF(AND(A183&lt;&gt;"",D183="完了"),1,0)</x:f>
        <x:v>0</x:v>
      </x:c>
      <x:c r="L183" s="67" t="n">
        <x:f>IF(A183="",0,1)</x:f>
        <x:v>0</x:v>
      </x:c>
      <x:c r="M183" s="67" t="n">
        <x:f>IF(E183="期限超過",1,0)</x:f>
        <x:v>0</x:v>
      </x:c>
    </x:row>
    <x:row r="184" ht="28" customHeight="1">
      <x:c r="A184" s="62"/>
      <x:c r="B184" s="63"/>
      <x:c r="C184" s="65"/>
      <x:c r="D184" s="61"/>
      <x:c r="E184" s="49" t="str">
        <x:f>IF(A184="","",IF(D184="完了","完了",IF(AND(ISNUMBER(B184),B184&gt;=DATE(2000,1,1),B184&lt;=DATE(2100,12,31),ISNUMBER(C184),C184&gt;0,C184&lt;=100000,C184=INT(C184),OR(D184="未着手",D184="進行中")),IF(INT(B184)&lt;'今日の3件'!$C$5,"期限超過",IF(INT(B184)='今日の3件'!$C$5,"今日締切",IF(INT(B184)&lt;='今日の3件'!$C$5+3,"3日以内","これから"))),"入力確認")))</x:f>
      </x:c>
      <x:c r="F184" s="61"/>
      <x:c r="G184" s="66" t="n">
        <x:f>IF(OR(A184="",D184="完了",E184="入力確認"),999999999,INT(B184)*1000+ROW())</x:f>
        <x:v>999999999</x:v>
      </x:c>
      <x:c r="H184" s="66" t="n">
        <x:f>IF(G184=999999999,0,1)</x:f>
        <x:v>0</x:v>
      </x:c>
      <x:c r="I184" s="67" t="n">
        <x:f>IF(H184=0,0,IF(B184&lt;='今日の3件'!$C$5+7-WEEKDAY('今日の3件'!$C$5,2),C184,0))</x:f>
        <x:v>0</x:v>
      </x:c>
      <x:c r="J184" s="67" t="n">
        <x:f>IF(E184="入力確認",1,0)</x:f>
        <x:v>0</x:v>
      </x:c>
      <x:c r="K184" s="67" t="n">
        <x:f>IF(AND(A184&lt;&gt;"",D184="完了"),1,0)</x:f>
        <x:v>0</x:v>
      </x:c>
      <x:c r="L184" s="67" t="n">
        <x:f>IF(A184="",0,1)</x:f>
        <x:v>0</x:v>
      </x:c>
      <x:c r="M184" s="67" t="n">
        <x:f>IF(E184="期限超過",1,0)</x:f>
        <x:v>0</x:v>
      </x:c>
    </x:row>
    <x:row r="185" ht="28" customHeight="1">
      <x:c r="A185" s="62"/>
      <x:c r="B185" s="63"/>
      <x:c r="C185" s="65"/>
      <x:c r="D185" s="61"/>
      <x:c r="E185" s="49" t="str">
        <x:f>IF(A185="","",IF(D185="完了","完了",IF(AND(ISNUMBER(B185),B185&gt;=DATE(2000,1,1),B185&lt;=DATE(2100,12,31),ISNUMBER(C185),C185&gt;0,C185&lt;=100000,C185=INT(C185),OR(D185="未着手",D185="進行中")),IF(INT(B185)&lt;'今日の3件'!$C$5,"期限超過",IF(INT(B185)='今日の3件'!$C$5,"今日締切",IF(INT(B185)&lt;='今日の3件'!$C$5+3,"3日以内","これから"))),"入力確認")))</x:f>
      </x:c>
      <x:c r="F185" s="61"/>
      <x:c r="G185" s="66" t="n">
        <x:f>IF(OR(A185="",D185="完了",E185="入力確認"),999999999,INT(B185)*1000+ROW())</x:f>
        <x:v>999999999</x:v>
      </x:c>
      <x:c r="H185" s="66" t="n">
        <x:f>IF(G185=999999999,0,1)</x:f>
        <x:v>0</x:v>
      </x:c>
      <x:c r="I185" s="67" t="n">
        <x:f>IF(H185=0,0,IF(B185&lt;='今日の3件'!$C$5+7-WEEKDAY('今日の3件'!$C$5,2),C185,0))</x:f>
        <x:v>0</x:v>
      </x:c>
      <x:c r="J185" s="67" t="n">
        <x:f>IF(E185="入力確認",1,0)</x:f>
        <x:v>0</x:v>
      </x:c>
      <x:c r="K185" s="67" t="n">
        <x:f>IF(AND(A185&lt;&gt;"",D185="完了"),1,0)</x:f>
        <x:v>0</x:v>
      </x:c>
      <x:c r="L185" s="67" t="n">
        <x:f>IF(A185="",0,1)</x:f>
        <x:v>0</x:v>
      </x:c>
      <x:c r="M185" s="67" t="n">
        <x:f>IF(E185="期限超過",1,0)</x:f>
        <x:v>0</x:v>
      </x:c>
    </x:row>
    <x:row r="186" ht="28" customHeight="1">
      <x:c r="A186" s="62"/>
      <x:c r="B186" s="63"/>
      <x:c r="C186" s="65"/>
      <x:c r="D186" s="61"/>
      <x:c r="E186" s="49" t="str">
        <x:f>IF(A186="","",IF(D186="完了","完了",IF(AND(ISNUMBER(B186),B186&gt;=DATE(2000,1,1),B186&lt;=DATE(2100,12,31),ISNUMBER(C186),C186&gt;0,C186&lt;=100000,C186=INT(C186),OR(D186="未着手",D186="進行中")),IF(INT(B186)&lt;'今日の3件'!$C$5,"期限超過",IF(INT(B186)='今日の3件'!$C$5,"今日締切",IF(INT(B186)&lt;='今日の3件'!$C$5+3,"3日以内","これから"))),"入力確認")))</x:f>
      </x:c>
      <x:c r="F186" s="61"/>
      <x:c r="G186" s="66" t="n">
        <x:f>IF(OR(A186="",D186="完了",E186="入力確認"),999999999,INT(B186)*1000+ROW())</x:f>
        <x:v>999999999</x:v>
      </x:c>
      <x:c r="H186" s="66" t="n">
        <x:f>IF(G186=999999999,0,1)</x:f>
        <x:v>0</x:v>
      </x:c>
      <x:c r="I186" s="67" t="n">
        <x:f>IF(H186=0,0,IF(B186&lt;='今日の3件'!$C$5+7-WEEKDAY('今日の3件'!$C$5,2),C186,0))</x:f>
        <x:v>0</x:v>
      </x:c>
      <x:c r="J186" s="67" t="n">
        <x:f>IF(E186="入力確認",1,0)</x:f>
        <x:v>0</x:v>
      </x:c>
      <x:c r="K186" s="67" t="n">
        <x:f>IF(AND(A186&lt;&gt;"",D186="完了"),1,0)</x:f>
        <x:v>0</x:v>
      </x:c>
      <x:c r="L186" s="67" t="n">
        <x:f>IF(A186="",0,1)</x:f>
        <x:v>0</x:v>
      </x:c>
      <x:c r="M186" s="67" t="n">
        <x:f>IF(E186="期限超過",1,0)</x:f>
        <x:v>0</x:v>
      </x:c>
    </x:row>
    <x:row r="187" ht="28" customHeight="1">
      <x:c r="A187" s="62"/>
      <x:c r="B187" s="63"/>
      <x:c r="C187" s="65"/>
      <x:c r="D187" s="61"/>
      <x:c r="E187" s="49" t="str">
        <x:f>IF(A187="","",IF(D187="完了","完了",IF(AND(ISNUMBER(B187),B187&gt;=DATE(2000,1,1),B187&lt;=DATE(2100,12,31),ISNUMBER(C187),C187&gt;0,C187&lt;=100000,C187=INT(C187),OR(D187="未着手",D187="進行中")),IF(INT(B187)&lt;'今日の3件'!$C$5,"期限超過",IF(INT(B187)='今日の3件'!$C$5,"今日締切",IF(INT(B187)&lt;='今日の3件'!$C$5+3,"3日以内","これから"))),"入力確認")))</x:f>
      </x:c>
      <x:c r="F187" s="61"/>
      <x:c r="G187" s="66" t="n">
        <x:f>IF(OR(A187="",D187="完了",E187="入力確認"),999999999,INT(B187)*1000+ROW())</x:f>
        <x:v>999999999</x:v>
      </x:c>
      <x:c r="H187" s="66" t="n">
        <x:f>IF(G187=999999999,0,1)</x:f>
        <x:v>0</x:v>
      </x:c>
      <x:c r="I187" s="67" t="n">
        <x:f>IF(H187=0,0,IF(B187&lt;='今日の3件'!$C$5+7-WEEKDAY('今日の3件'!$C$5,2),C187,0))</x:f>
        <x:v>0</x:v>
      </x:c>
      <x:c r="J187" s="67" t="n">
        <x:f>IF(E187="入力確認",1,0)</x:f>
        <x:v>0</x:v>
      </x:c>
      <x:c r="K187" s="67" t="n">
        <x:f>IF(AND(A187&lt;&gt;"",D187="完了"),1,0)</x:f>
        <x:v>0</x:v>
      </x:c>
      <x:c r="L187" s="67" t="n">
        <x:f>IF(A187="",0,1)</x:f>
        <x:v>0</x:v>
      </x:c>
      <x:c r="M187" s="67" t="n">
        <x:f>IF(E187="期限超過",1,0)</x:f>
        <x:v>0</x:v>
      </x:c>
    </x:row>
    <x:row r="188" ht="28" customHeight="1">
      <x:c r="A188" s="62"/>
      <x:c r="B188" s="63"/>
      <x:c r="C188" s="65"/>
      <x:c r="D188" s="61"/>
      <x:c r="E188" s="49" t="str">
        <x:f>IF(A188="","",IF(D188="完了","完了",IF(AND(ISNUMBER(B188),B188&gt;=DATE(2000,1,1),B188&lt;=DATE(2100,12,31),ISNUMBER(C188),C188&gt;0,C188&lt;=100000,C188=INT(C188),OR(D188="未着手",D188="進行中")),IF(INT(B188)&lt;'今日の3件'!$C$5,"期限超過",IF(INT(B188)='今日の3件'!$C$5,"今日締切",IF(INT(B188)&lt;='今日の3件'!$C$5+3,"3日以内","これから"))),"入力確認")))</x:f>
      </x:c>
      <x:c r="F188" s="61"/>
      <x:c r="G188" s="66" t="n">
        <x:f>IF(OR(A188="",D188="完了",E188="入力確認"),999999999,INT(B188)*1000+ROW())</x:f>
        <x:v>999999999</x:v>
      </x:c>
      <x:c r="H188" s="66" t="n">
        <x:f>IF(G188=999999999,0,1)</x:f>
        <x:v>0</x:v>
      </x:c>
      <x:c r="I188" s="67" t="n">
        <x:f>IF(H188=0,0,IF(B188&lt;='今日の3件'!$C$5+7-WEEKDAY('今日の3件'!$C$5,2),C188,0))</x:f>
        <x:v>0</x:v>
      </x:c>
      <x:c r="J188" s="67" t="n">
        <x:f>IF(E188="入力確認",1,0)</x:f>
        <x:v>0</x:v>
      </x:c>
      <x:c r="K188" s="67" t="n">
        <x:f>IF(AND(A188&lt;&gt;"",D188="完了"),1,0)</x:f>
        <x:v>0</x:v>
      </x:c>
      <x:c r="L188" s="67" t="n">
        <x:f>IF(A188="",0,1)</x:f>
        <x:v>0</x:v>
      </x:c>
      <x:c r="M188" s="67" t="n">
        <x:f>IF(E188="期限超過",1,0)</x:f>
        <x:v>0</x:v>
      </x:c>
    </x:row>
    <x:row r="189" ht="28" customHeight="1">
      <x:c r="A189" s="62"/>
      <x:c r="B189" s="63"/>
      <x:c r="C189" s="65"/>
      <x:c r="D189" s="61"/>
      <x:c r="E189" s="49" t="str">
        <x:f>IF(A189="","",IF(D189="完了","完了",IF(AND(ISNUMBER(B189),B189&gt;=DATE(2000,1,1),B189&lt;=DATE(2100,12,31),ISNUMBER(C189),C189&gt;0,C189&lt;=100000,C189=INT(C189),OR(D189="未着手",D189="進行中")),IF(INT(B189)&lt;'今日の3件'!$C$5,"期限超過",IF(INT(B189)='今日の3件'!$C$5,"今日締切",IF(INT(B189)&lt;='今日の3件'!$C$5+3,"3日以内","これから"))),"入力確認")))</x:f>
      </x:c>
      <x:c r="F189" s="61"/>
      <x:c r="G189" s="66" t="n">
        <x:f>IF(OR(A189="",D189="完了",E189="入力確認"),999999999,INT(B189)*1000+ROW())</x:f>
        <x:v>999999999</x:v>
      </x:c>
      <x:c r="H189" s="66" t="n">
        <x:f>IF(G189=999999999,0,1)</x:f>
        <x:v>0</x:v>
      </x:c>
      <x:c r="I189" s="67" t="n">
        <x:f>IF(H189=0,0,IF(B189&lt;='今日の3件'!$C$5+7-WEEKDAY('今日の3件'!$C$5,2),C189,0))</x:f>
        <x:v>0</x:v>
      </x:c>
      <x:c r="J189" s="67" t="n">
        <x:f>IF(E189="入力確認",1,0)</x:f>
        <x:v>0</x:v>
      </x:c>
      <x:c r="K189" s="67" t="n">
        <x:f>IF(AND(A189&lt;&gt;"",D189="完了"),1,0)</x:f>
        <x:v>0</x:v>
      </x:c>
      <x:c r="L189" s="67" t="n">
        <x:f>IF(A189="",0,1)</x:f>
        <x:v>0</x:v>
      </x:c>
      <x:c r="M189" s="67" t="n">
        <x:f>IF(E189="期限超過",1,0)</x:f>
        <x:v>0</x:v>
      </x:c>
    </x:row>
    <x:row r="190" ht="28" customHeight="1">
      <x:c r="A190" s="62"/>
      <x:c r="B190" s="63"/>
      <x:c r="C190" s="65"/>
      <x:c r="D190" s="61"/>
      <x:c r="E190" s="49" t="str">
        <x:f>IF(A190="","",IF(D190="完了","完了",IF(AND(ISNUMBER(B190),B190&gt;=DATE(2000,1,1),B190&lt;=DATE(2100,12,31),ISNUMBER(C190),C190&gt;0,C190&lt;=100000,C190=INT(C190),OR(D190="未着手",D190="進行中")),IF(INT(B190)&lt;'今日の3件'!$C$5,"期限超過",IF(INT(B190)='今日の3件'!$C$5,"今日締切",IF(INT(B190)&lt;='今日の3件'!$C$5+3,"3日以内","これから"))),"入力確認")))</x:f>
      </x:c>
      <x:c r="F190" s="61"/>
      <x:c r="G190" s="66" t="n">
        <x:f>IF(OR(A190="",D190="完了",E190="入力確認"),999999999,INT(B190)*1000+ROW())</x:f>
        <x:v>999999999</x:v>
      </x:c>
      <x:c r="H190" s="66" t="n">
        <x:f>IF(G190=999999999,0,1)</x:f>
        <x:v>0</x:v>
      </x:c>
      <x:c r="I190" s="67" t="n">
        <x:f>IF(H190=0,0,IF(B190&lt;='今日の3件'!$C$5+7-WEEKDAY('今日の3件'!$C$5,2),C190,0))</x:f>
        <x:v>0</x:v>
      </x:c>
      <x:c r="J190" s="67" t="n">
        <x:f>IF(E190="入力確認",1,0)</x:f>
        <x:v>0</x:v>
      </x:c>
      <x:c r="K190" s="67" t="n">
        <x:f>IF(AND(A190&lt;&gt;"",D190="完了"),1,0)</x:f>
        <x:v>0</x:v>
      </x:c>
      <x:c r="L190" s="67" t="n">
        <x:f>IF(A190="",0,1)</x:f>
        <x:v>0</x:v>
      </x:c>
      <x:c r="M190" s="67" t="n">
        <x:f>IF(E190="期限超過",1,0)</x:f>
        <x:v>0</x:v>
      </x:c>
    </x:row>
    <x:row r="191" ht="28" customHeight="1">
      <x:c r="A191" s="62"/>
      <x:c r="B191" s="63"/>
      <x:c r="C191" s="65"/>
      <x:c r="D191" s="61"/>
      <x:c r="E191" s="49" t="str">
        <x:f>IF(A191="","",IF(D191="完了","完了",IF(AND(ISNUMBER(B191),B191&gt;=DATE(2000,1,1),B191&lt;=DATE(2100,12,31),ISNUMBER(C191),C191&gt;0,C191&lt;=100000,C191=INT(C191),OR(D191="未着手",D191="進行中")),IF(INT(B191)&lt;'今日の3件'!$C$5,"期限超過",IF(INT(B191)='今日の3件'!$C$5,"今日締切",IF(INT(B191)&lt;='今日の3件'!$C$5+3,"3日以内","これから"))),"入力確認")))</x:f>
      </x:c>
      <x:c r="F191" s="61"/>
      <x:c r="G191" s="66" t="n">
        <x:f>IF(OR(A191="",D191="完了",E191="入力確認"),999999999,INT(B191)*1000+ROW())</x:f>
        <x:v>999999999</x:v>
      </x:c>
      <x:c r="H191" s="66" t="n">
        <x:f>IF(G191=999999999,0,1)</x:f>
        <x:v>0</x:v>
      </x:c>
      <x:c r="I191" s="67" t="n">
        <x:f>IF(H191=0,0,IF(B191&lt;='今日の3件'!$C$5+7-WEEKDAY('今日の3件'!$C$5,2),C191,0))</x:f>
        <x:v>0</x:v>
      </x:c>
      <x:c r="J191" s="67" t="n">
        <x:f>IF(E191="入力確認",1,0)</x:f>
        <x:v>0</x:v>
      </x:c>
      <x:c r="K191" s="67" t="n">
        <x:f>IF(AND(A191&lt;&gt;"",D191="完了"),1,0)</x:f>
        <x:v>0</x:v>
      </x:c>
      <x:c r="L191" s="67" t="n">
        <x:f>IF(A191="",0,1)</x:f>
        <x:v>0</x:v>
      </x:c>
      <x:c r="M191" s="67" t="n">
        <x:f>IF(E191="期限超過",1,0)</x:f>
        <x:v>0</x:v>
      </x:c>
    </x:row>
    <x:row r="192" ht="28" customHeight="1">
      <x:c r="A192" s="62"/>
      <x:c r="B192" s="63"/>
      <x:c r="C192" s="65"/>
      <x:c r="D192" s="61"/>
      <x:c r="E192" s="49" t="str">
        <x:f>IF(A192="","",IF(D192="完了","完了",IF(AND(ISNUMBER(B192),B192&gt;=DATE(2000,1,1),B192&lt;=DATE(2100,12,31),ISNUMBER(C192),C192&gt;0,C192&lt;=100000,C192=INT(C192),OR(D192="未着手",D192="進行中")),IF(INT(B192)&lt;'今日の3件'!$C$5,"期限超過",IF(INT(B192)='今日の3件'!$C$5,"今日締切",IF(INT(B192)&lt;='今日の3件'!$C$5+3,"3日以内","これから"))),"入力確認")))</x:f>
      </x:c>
      <x:c r="F192" s="61"/>
      <x:c r="G192" s="66" t="n">
        <x:f>IF(OR(A192="",D192="完了",E192="入力確認"),999999999,INT(B192)*1000+ROW())</x:f>
        <x:v>999999999</x:v>
      </x:c>
      <x:c r="H192" s="66" t="n">
        <x:f>IF(G192=999999999,0,1)</x:f>
        <x:v>0</x:v>
      </x:c>
      <x:c r="I192" s="67" t="n">
        <x:f>IF(H192=0,0,IF(B192&lt;='今日の3件'!$C$5+7-WEEKDAY('今日の3件'!$C$5,2),C192,0))</x:f>
        <x:v>0</x:v>
      </x:c>
      <x:c r="J192" s="67" t="n">
        <x:f>IF(E192="入力確認",1,0)</x:f>
        <x:v>0</x:v>
      </x:c>
      <x:c r="K192" s="67" t="n">
        <x:f>IF(AND(A192&lt;&gt;"",D192="完了"),1,0)</x:f>
        <x:v>0</x:v>
      </x:c>
      <x:c r="L192" s="67" t="n">
        <x:f>IF(A192="",0,1)</x:f>
        <x:v>0</x:v>
      </x:c>
      <x:c r="M192" s="67" t="n">
        <x:f>IF(E192="期限超過",1,0)</x:f>
        <x:v>0</x:v>
      </x:c>
    </x:row>
    <x:row r="193" ht="28" customHeight="1">
      <x:c r="A193" s="62"/>
      <x:c r="B193" s="63"/>
      <x:c r="C193" s="65"/>
      <x:c r="D193" s="61"/>
      <x:c r="E193" s="49" t="str">
        <x:f>IF(A193="","",IF(D193="完了","完了",IF(AND(ISNUMBER(B193),B193&gt;=DATE(2000,1,1),B193&lt;=DATE(2100,12,31),ISNUMBER(C193),C193&gt;0,C193&lt;=100000,C193=INT(C193),OR(D193="未着手",D193="進行中")),IF(INT(B193)&lt;'今日の3件'!$C$5,"期限超過",IF(INT(B193)='今日の3件'!$C$5,"今日締切",IF(INT(B193)&lt;='今日の3件'!$C$5+3,"3日以内","これから"))),"入力確認")))</x:f>
      </x:c>
      <x:c r="F193" s="61"/>
      <x:c r="G193" s="66" t="n">
        <x:f>IF(OR(A193="",D193="完了",E193="入力確認"),999999999,INT(B193)*1000+ROW())</x:f>
        <x:v>999999999</x:v>
      </x:c>
      <x:c r="H193" s="66" t="n">
        <x:f>IF(G193=999999999,0,1)</x:f>
        <x:v>0</x:v>
      </x:c>
      <x:c r="I193" s="67" t="n">
        <x:f>IF(H193=0,0,IF(B193&lt;='今日の3件'!$C$5+7-WEEKDAY('今日の3件'!$C$5,2),C193,0))</x:f>
        <x:v>0</x:v>
      </x:c>
      <x:c r="J193" s="67" t="n">
        <x:f>IF(E193="入力確認",1,0)</x:f>
        <x:v>0</x:v>
      </x:c>
      <x:c r="K193" s="67" t="n">
        <x:f>IF(AND(A193&lt;&gt;"",D193="完了"),1,0)</x:f>
        <x:v>0</x:v>
      </x:c>
      <x:c r="L193" s="67" t="n">
        <x:f>IF(A193="",0,1)</x:f>
        <x:v>0</x:v>
      </x:c>
      <x:c r="M193" s="67" t="n">
        <x:f>IF(E193="期限超過",1,0)</x:f>
        <x:v>0</x:v>
      </x:c>
    </x:row>
    <x:row r="194" ht="28" customHeight="1">
      <x:c r="A194" s="62"/>
      <x:c r="B194" s="63"/>
      <x:c r="C194" s="65"/>
      <x:c r="D194" s="61"/>
      <x:c r="E194" s="49" t="str">
        <x:f>IF(A194="","",IF(D194="完了","完了",IF(AND(ISNUMBER(B194),B194&gt;=DATE(2000,1,1),B194&lt;=DATE(2100,12,31),ISNUMBER(C194),C194&gt;0,C194&lt;=100000,C194=INT(C194),OR(D194="未着手",D194="進行中")),IF(INT(B194)&lt;'今日の3件'!$C$5,"期限超過",IF(INT(B194)='今日の3件'!$C$5,"今日締切",IF(INT(B194)&lt;='今日の3件'!$C$5+3,"3日以内","これから"))),"入力確認")))</x:f>
      </x:c>
      <x:c r="F194" s="61"/>
      <x:c r="G194" s="66" t="n">
        <x:f>IF(OR(A194="",D194="完了",E194="入力確認"),999999999,INT(B194)*1000+ROW())</x:f>
        <x:v>999999999</x:v>
      </x:c>
      <x:c r="H194" s="66" t="n">
        <x:f>IF(G194=999999999,0,1)</x:f>
        <x:v>0</x:v>
      </x:c>
      <x:c r="I194" s="67" t="n">
        <x:f>IF(H194=0,0,IF(B194&lt;='今日の3件'!$C$5+7-WEEKDAY('今日の3件'!$C$5,2),C194,0))</x:f>
        <x:v>0</x:v>
      </x:c>
      <x:c r="J194" s="67" t="n">
        <x:f>IF(E194="入力確認",1,0)</x:f>
        <x:v>0</x:v>
      </x:c>
      <x:c r="K194" s="67" t="n">
        <x:f>IF(AND(A194&lt;&gt;"",D194="完了"),1,0)</x:f>
        <x:v>0</x:v>
      </x:c>
      <x:c r="L194" s="67" t="n">
        <x:f>IF(A194="",0,1)</x:f>
        <x:v>0</x:v>
      </x:c>
      <x:c r="M194" s="67" t="n">
        <x:f>IF(E194="期限超過",1,0)</x:f>
        <x:v>0</x:v>
      </x:c>
    </x:row>
    <x:row r="195" ht="28" customHeight="1">
      <x:c r="A195" s="62"/>
      <x:c r="B195" s="63"/>
      <x:c r="C195" s="65"/>
      <x:c r="D195" s="61"/>
      <x:c r="E195" s="49" t="str">
        <x:f>IF(A195="","",IF(D195="完了","完了",IF(AND(ISNUMBER(B195),B195&gt;=DATE(2000,1,1),B195&lt;=DATE(2100,12,31),ISNUMBER(C195),C195&gt;0,C195&lt;=100000,C195=INT(C195),OR(D195="未着手",D195="進行中")),IF(INT(B195)&lt;'今日の3件'!$C$5,"期限超過",IF(INT(B195)='今日の3件'!$C$5,"今日締切",IF(INT(B195)&lt;='今日の3件'!$C$5+3,"3日以内","これから"))),"入力確認")))</x:f>
      </x:c>
      <x:c r="F195" s="61"/>
      <x:c r="G195" s="66" t="n">
        <x:f>IF(OR(A195="",D195="完了",E195="入力確認"),999999999,INT(B195)*1000+ROW())</x:f>
        <x:v>999999999</x:v>
      </x:c>
      <x:c r="H195" s="66" t="n">
        <x:f>IF(G195=999999999,0,1)</x:f>
        <x:v>0</x:v>
      </x:c>
      <x:c r="I195" s="67" t="n">
        <x:f>IF(H195=0,0,IF(B195&lt;='今日の3件'!$C$5+7-WEEKDAY('今日の3件'!$C$5,2),C195,0))</x:f>
        <x:v>0</x:v>
      </x:c>
      <x:c r="J195" s="67" t="n">
        <x:f>IF(E195="入力確認",1,0)</x:f>
        <x:v>0</x:v>
      </x:c>
      <x:c r="K195" s="67" t="n">
        <x:f>IF(AND(A195&lt;&gt;"",D195="完了"),1,0)</x:f>
        <x:v>0</x:v>
      </x:c>
      <x:c r="L195" s="67" t="n">
        <x:f>IF(A195="",0,1)</x:f>
        <x:v>0</x:v>
      </x:c>
      <x:c r="M195" s="67" t="n">
        <x:f>IF(E195="期限超過",1,0)</x:f>
        <x:v>0</x:v>
      </x:c>
    </x:row>
    <x:row r="196" ht="28" customHeight="1">
      <x:c r="A196" s="62"/>
      <x:c r="B196" s="63"/>
      <x:c r="C196" s="65"/>
      <x:c r="D196" s="61"/>
      <x:c r="E196" s="49" t="str">
        <x:f>IF(A196="","",IF(D196="完了","完了",IF(AND(ISNUMBER(B196),B196&gt;=DATE(2000,1,1),B196&lt;=DATE(2100,12,31),ISNUMBER(C196),C196&gt;0,C196&lt;=100000,C196=INT(C196),OR(D196="未着手",D196="進行中")),IF(INT(B196)&lt;'今日の3件'!$C$5,"期限超過",IF(INT(B196)='今日の3件'!$C$5,"今日締切",IF(INT(B196)&lt;='今日の3件'!$C$5+3,"3日以内","これから"))),"入力確認")))</x:f>
      </x:c>
      <x:c r="F196" s="61"/>
      <x:c r="G196" s="66" t="n">
        <x:f>IF(OR(A196="",D196="完了",E196="入力確認"),999999999,INT(B196)*1000+ROW())</x:f>
        <x:v>999999999</x:v>
      </x:c>
      <x:c r="H196" s="66" t="n">
        <x:f>IF(G196=999999999,0,1)</x:f>
        <x:v>0</x:v>
      </x:c>
      <x:c r="I196" s="67" t="n">
        <x:f>IF(H196=0,0,IF(B196&lt;='今日の3件'!$C$5+7-WEEKDAY('今日の3件'!$C$5,2),C196,0))</x:f>
        <x:v>0</x:v>
      </x:c>
      <x:c r="J196" s="67" t="n">
        <x:f>IF(E196="入力確認",1,0)</x:f>
        <x:v>0</x:v>
      </x:c>
      <x:c r="K196" s="67" t="n">
        <x:f>IF(AND(A196&lt;&gt;"",D196="完了"),1,0)</x:f>
        <x:v>0</x:v>
      </x:c>
      <x:c r="L196" s="67" t="n">
        <x:f>IF(A196="",0,1)</x:f>
        <x:v>0</x:v>
      </x:c>
      <x:c r="M196" s="67" t="n">
        <x:f>IF(E196="期限超過",1,0)</x:f>
        <x:v>0</x:v>
      </x:c>
    </x:row>
    <x:row r="197" ht="28" customHeight="1">
      <x:c r="A197" s="62"/>
      <x:c r="B197" s="63"/>
      <x:c r="C197" s="65"/>
      <x:c r="D197" s="61"/>
      <x:c r="E197" s="49" t="str">
        <x:f>IF(A197="","",IF(D197="完了","完了",IF(AND(ISNUMBER(B197),B197&gt;=DATE(2000,1,1),B197&lt;=DATE(2100,12,31),ISNUMBER(C197),C197&gt;0,C197&lt;=100000,C197=INT(C197),OR(D197="未着手",D197="進行中")),IF(INT(B197)&lt;'今日の3件'!$C$5,"期限超過",IF(INT(B197)='今日の3件'!$C$5,"今日締切",IF(INT(B197)&lt;='今日の3件'!$C$5+3,"3日以内","これから"))),"入力確認")))</x:f>
      </x:c>
      <x:c r="F197" s="61"/>
      <x:c r="G197" s="66" t="n">
        <x:f>IF(OR(A197="",D197="完了",E197="入力確認"),999999999,INT(B197)*1000+ROW())</x:f>
        <x:v>999999999</x:v>
      </x:c>
      <x:c r="H197" s="66" t="n">
        <x:f>IF(G197=999999999,0,1)</x:f>
        <x:v>0</x:v>
      </x:c>
      <x:c r="I197" s="67" t="n">
        <x:f>IF(H197=0,0,IF(B197&lt;='今日の3件'!$C$5+7-WEEKDAY('今日の3件'!$C$5,2),C197,0))</x:f>
        <x:v>0</x:v>
      </x:c>
      <x:c r="J197" s="67" t="n">
        <x:f>IF(E197="入力確認",1,0)</x:f>
        <x:v>0</x:v>
      </x:c>
      <x:c r="K197" s="67" t="n">
        <x:f>IF(AND(A197&lt;&gt;"",D197="完了"),1,0)</x:f>
        <x:v>0</x:v>
      </x:c>
      <x:c r="L197" s="67" t="n">
        <x:f>IF(A197="",0,1)</x:f>
        <x:v>0</x:v>
      </x:c>
      <x:c r="M197" s="67" t="n">
        <x:f>IF(E197="期限超過",1,0)</x:f>
        <x:v>0</x:v>
      </x:c>
    </x:row>
    <x:row r="198" ht="28" customHeight="1">
      <x:c r="A198" s="62"/>
      <x:c r="B198" s="63"/>
      <x:c r="C198" s="65"/>
      <x:c r="D198" s="61"/>
      <x:c r="E198" s="49" t="str">
        <x:f>IF(A198="","",IF(D198="完了","完了",IF(AND(ISNUMBER(B198),B198&gt;=DATE(2000,1,1),B198&lt;=DATE(2100,12,31),ISNUMBER(C198),C198&gt;0,C198&lt;=100000,C198=INT(C198),OR(D198="未着手",D198="進行中")),IF(INT(B198)&lt;'今日の3件'!$C$5,"期限超過",IF(INT(B198)='今日の3件'!$C$5,"今日締切",IF(INT(B198)&lt;='今日の3件'!$C$5+3,"3日以内","これから"))),"入力確認")))</x:f>
      </x:c>
      <x:c r="F198" s="61"/>
      <x:c r="G198" s="66" t="n">
        <x:f>IF(OR(A198="",D198="完了",E198="入力確認"),999999999,INT(B198)*1000+ROW())</x:f>
        <x:v>999999999</x:v>
      </x:c>
      <x:c r="H198" s="66" t="n">
        <x:f>IF(G198=999999999,0,1)</x:f>
        <x:v>0</x:v>
      </x:c>
      <x:c r="I198" s="67" t="n">
        <x:f>IF(H198=0,0,IF(B198&lt;='今日の3件'!$C$5+7-WEEKDAY('今日の3件'!$C$5,2),C198,0))</x:f>
        <x:v>0</x:v>
      </x:c>
      <x:c r="J198" s="67" t="n">
        <x:f>IF(E198="入力確認",1,0)</x:f>
        <x:v>0</x:v>
      </x:c>
      <x:c r="K198" s="67" t="n">
        <x:f>IF(AND(A198&lt;&gt;"",D198="完了"),1,0)</x:f>
        <x:v>0</x:v>
      </x:c>
      <x:c r="L198" s="67" t="n">
        <x:f>IF(A198="",0,1)</x:f>
        <x:v>0</x:v>
      </x:c>
      <x:c r="M198" s="67" t="n">
        <x:f>IF(E198="期限超過",1,0)</x:f>
        <x:v>0</x:v>
      </x:c>
    </x:row>
    <x:row r="199" ht="28" customHeight="1">
      <x:c r="A199" s="62"/>
      <x:c r="B199" s="63"/>
      <x:c r="C199" s="65"/>
      <x:c r="D199" s="61"/>
      <x:c r="E199" s="49" t="str">
        <x:f>IF(A199="","",IF(D199="完了","完了",IF(AND(ISNUMBER(B199),B199&gt;=DATE(2000,1,1),B199&lt;=DATE(2100,12,31),ISNUMBER(C199),C199&gt;0,C199&lt;=100000,C199=INT(C199),OR(D199="未着手",D199="進行中")),IF(INT(B199)&lt;'今日の3件'!$C$5,"期限超過",IF(INT(B199)='今日の3件'!$C$5,"今日締切",IF(INT(B199)&lt;='今日の3件'!$C$5+3,"3日以内","これから"))),"入力確認")))</x:f>
      </x:c>
      <x:c r="F199" s="61"/>
      <x:c r="G199" s="66" t="n">
        <x:f>IF(OR(A199="",D199="完了",E199="入力確認"),999999999,INT(B199)*1000+ROW())</x:f>
        <x:v>999999999</x:v>
      </x:c>
      <x:c r="H199" s="66" t="n">
        <x:f>IF(G199=999999999,0,1)</x:f>
        <x:v>0</x:v>
      </x:c>
      <x:c r="I199" s="67" t="n">
        <x:f>IF(H199=0,0,IF(B199&lt;='今日の3件'!$C$5+7-WEEKDAY('今日の3件'!$C$5,2),C199,0))</x:f>
        <x:v>0</x:v>
      </x:c>
      <x:c r="J199" s="67" t="n">
        <x:f>IF(E199="入力確認",1,0)</x:f>
        <x:v>0</x:v>
      </x:c>
      <x:c r="K199" s="67" t="n">
        <x:f>IF(AND(A199&lt;&gt;"",D199="完了"),1,0)</x:f>
        <x:v>0</x:v>
      </x:c>
      <x:c r="L199" s="67" t="n">
        <x:f>IF(A199="",0,1)</x:f>
        <x:v>0</x:v>
      </x:c>
      <x:c r="M199" s="67" t="n">
        <x:f>IF(E199="期限超過",1,0)</x:f>
        <x:v>0</x:v>
      </x:c>
    </x:row>
    <x:row r="200" ht="28" customHeight="1">
      <x:c r="A200" s="62"/>
      <x:c r="B200" s="63"/>
      <x:c r="C200" s="65"/>
      <x:c r="D200" s="61"/>
      <x:c r="E200" s="49" t="str">
        <x:f>IF(A200="","",IF(D200="完了","完了",IF(AND(ISNUMBER(B200),B200&gt;=DATE(2000,1,1),B200&lt;=DATE(2100,12,31),ISNUMBER(C200),C200&gt;0,C200&lt;=100000,C200=INT(C200),OR(D200="未着手",D200="進行中")),IF(INT(B200)&lt;'今日の3件'!$C$5,"期限超過",IF(INT(B200)='今日の3件'!$C$5,"今日締切",IF(INT(B200)&lt;='今日の3件'!$C$5+3,"3日以内","これから"))),"入力確認")))</x:f>
      </x:c>
      <x:c r="F200" s="61"/>
      <x:c r="G200" s="66" t="n">
        <x:f>IF(OR(A200="",D200="完了",E200="入力確認"),999999999,INT(B200)*1000+ROW())</x:f>
        <x:v>999999999</x:v>
      </x:c>
      <x:c r="H200" s="66" t="n">
        <x:f>IF(G200=999999999,0,1)</x:f>
        <x:v>0</x:v>
      </x:c>
      <x:c r="I200" s="67" t="n">
        <x:f>IF(H200=0,0,IF(B200&lt;='今日の3件'!$C$5+7-WEEKDAY('今日の3件'!$C$5,2),C200,0))</x:f>
        <x:v>0</x:v>
      </x:c>
      <x:c r="J200" s="67" t="n">
        <x:f>IF(E200="入力確認",1,0)</x:f>
        <x:v>0</x:v>
      </x:c>
      <x:c r="K200" s="67" t="n">
        <x:f>IF(AND(A200&lt;&gt;"",D200="完了"),1,0)</x:f>
        <x:v>0</x:v>
      </x:c>
      <x:c r="L200" s="67" t="n">
        <x:f>IF(A200="",0,1)</x:f>
        <x:v>0</x:v>
      </x:c>
      <x:c r="M200" s="67" t="n">
        <x:f>IF(E200="期限超過",1,0)</x:f>
        <x:v>0</x:v>
      </x:c>
    </x:row>
    <x:row r="201" ht="28" customHeight="1">
      <x:c r="A201" s="62"/>
      <x:c r="B201" s="63"/>
      <x:c r="C201" s="65"/>
      <x:c r="D201" s="61"/>
      <x:c r="E201" s="49" t="str">
        <x:f>IF(A201="","",IF(D201="完了","完了",IF(AND(ISNUMBER(B201),B201&gt;=DATE(2000,1,1),B201&lt;=DATE(2100,12,31),ISNUMBER(C201),C201&gt;0,C201&lt;=100000,C201=INT(C201),OR(D201="未着手",D201="進行中")),IF(INT(B201)&lt;'今日の3件'!$C$5,"期限超過",IF(INT(B201)='今日の3件'!$C$5,"今日締切",IF(INT(B201)&lt;='今日の3件'!$C$5+3,"3日以内","これから"))),"入力確認")))</x:f>
      </x:c>
      <x:c r="F201" s="61"/>
      <x:c r="G201" s="66" t="n">
        <x:f>IF(OR(A201="",D201="完了",E201="入力確認"),999999999,INT(B201)*1000+ROW())</x:f>
        <x:v>999999999</x:v>
      </x:c>
      <x:c r="H201" s="66" t="n">
        <x:f>IF(G201=999999999,0,1)</x:f>
        <x:v>0</x:v>
      </x:c>
      <x:c r="I201" s="67" t="n">
        <x:f>IF(H201=0,0,IF(B201&lt;='今日の3件'!$C$5+7-WEEKDAY('今日の3件'!$C$5,2),C201,0))</x:f>
        <x:v>0</x:v>
      </x:c>
      <x:c r="J201" s="67" t="n">
        <x:f>IF(E201="入力確認",1,0)</x:f>
        <x:v>0</x:v>
      </x:c>
      <x:c r="K201" s="67" t="n">
        <x:f>IF(AND(A201&lt;&gt;"",D201="完了"),1,0)</x:f>
        <x:v>0</x:v>
      </x:c>
      <x:c r="L201" s="67" t="n">
        <x:f>IF(A201="",0,1)</x:f>
        <x:v>0</x:v>
      </x:c>
      <x:c r="M201" s="67" t="n">
        <x:f>IF(E201="期限超過",1,0)</x:f>
        <x:v>0</x:v>
      </x:c>
    </x:row>
    <x:row r="202" ht="28" customHeight="1">
      <x:c r="A202" s="62"/>
      <x:c r="B202" s="63"/>
      <x:c r="C202" s="65"/>
      <x:c r="D202" s="61"/>
      <x:c r="E202" s="49" t="str">
        <x:f>IF(A202="","",IF(D202="完了","完了",IF(AND(ISNUMBER(B202),B202&gt;=DATE(2000,1,1),B202&lt;=DATE(2100,12,31),ISNUMBER(C202),C202&gt;0,C202&lt;=100000,C202=INT(C202),OR(D202="未着手",D202="進行中")),IF(INT(B202)&lt;'今日の3件'!$C$5,"期限超過",IF(INT(B202)='今日の3件'!$C$5,"今日締切",IF(INT(B202)&lt;='今日の3件'!$C$5+3,"3日以内","これから"))),"入力確認")))</x:f>
      </x:c>
      <x:c r="F202" s="61"/>
      <x:c r="G202" s="66" t="n">
        <x:f>IF(OR(A202="",D202="完了",E202="入力確認"),999999999,INT(B202)*1000+ROW())</x:f>
        <x:v>999999999</x:v>
      </x:c>
      <x:c r="H202" s="66" t="n">
        <x:f>IF(G202=999999999,0,1)</x:f>
        <x:v>0</x:v>
      </x:c>
      <x:c r="I202" s="67" t="n">
        <x:f>IF(H202=0,0,IF(B202&lt;='今日の3件'!$C$5+7-WEEKDAY('今日の3件'!$C$5,2),C202,0))</x:f>
        <x:v>0</x:v>
      </x:c>
      <x:c r="J202" s="67" t="n">
        <x:f>IF(E202="入力確認",1,0)</x:f>
        <x:v>0</x:v>
      </x:c>
      <x:c r="K202" s="67" t="n">
        <x:f>IF(AND(A202&lt;&gt;"",D202="完了"),1,0)</x:f>
        <x:v>0</x:v>
      </x:c>
      <x:c r="L202" s="67" t="n">
        <x:f>IF(A202="",0,1)</x:f>
        <x:v>0</x:v>
      </x:c>
      <x:c r="M202" s="67" t="n">
        <x:f>IF(E202="期限超過",1,0)</x:f>
        <x:v>0</x:v>
      </x:c>
    </x:row>
    <x:row r="203" ht="28" customHeight="1">
      <x:c r="A203" s="62"/>
      <x:c r="B203" s="63"/>
      <x:c r="C203" s="65"/>
      <x:c r="D203" s="61"/>
      <x:c r="E203" s="49" t="str">
        <x:f>IF(A203="","",IF(D203="完了","完了",IF(AND(ISNUMBER(B203),B203&gt;=DATE(2000,1,1),B203&lt;=DATE(2100,12,31),ISNUMBER(C203),C203&gt;0,C203&lt;=100000,C203=INT(C203),OR(D203="未着手",D203="進行中")),IF(INT(B203)&lt;'今日の3件'!$C$5,"期限超過",IF(INT(B203)='今日の3件'!$C$5,"今日締切",IF(INT(B203)&lt;='今日の3件'!$C$5+3,"3日以内","これから"))),"入力確認")))</x:f>
      </x:c>
      <x:c r="F203" s="61"/>
      <x:c r="G203" s="66" t="n">
        <x:f>IF(OR(A203="",D203="完了",E203="入力確認"),999999999,INT(B203)*1000+ROW())</x:f>
        <x:v>999999999</x:v>
      </x:c>
      <x:c r="H203" s="66" t="n">
        <x:f>IF(G203=999999999,0,1)</x:f>
        <x:v>0</x:v>
      </x:c>
      <x:c r="I203" s="67" t="n">
        <x:f>IF(H203=0,0,IF(B203&lt;='今日の3件'!$C$5+7-WEEKDAY('今日の3件'!$C$5,2),C203,0))</x:f>
        <x:v>0</x:v>
      </x:c>
      <x:c r="J203" s="67" t="n">
        <x:f>IF(E203="入力確認",1,0)</x:f>
        <x:v>0</x:v>
      </x:c>
      <x:c r="K203" s="67" t="n">
        <x:f>IF(AND(A203&lt;&gt;"",D203="完了"),1,0)</x:f>
        <x:v>0</x:v>
      </x:c>
      <x:c r="L203" s="67" t="n">
        <x:f>IF(A203="",0,1)</x:f>
        <x:v>0</x:v>
      </x:c>
      <x:c r="M203" s="67" t="n">
        <x:f>IF(E203="期限超過",1,0)</x:f>
        <x:v>0</x:v>
      </x:c>
    </x:row>
    <x:row r="204" ht="28" customHeight="1">
      <x:c r="A204" s="62"/>
      <x:c r="B204" s="63"/>
      <x:c r="C204" s="65"/>
      <x:c r="D204" s="61"/>
      <x:c r="E204" s="49" t="str">
        <x:f>IF(A204="","",IF(D204="完了","完了",IF(AND(ISNUMBER(B204),B204&gt;=DATE(2000,1,1),B204&lt;=DATE(2100,12,31),ISNUMBER(C204),C204&gt;0,C204&lt;=100000,C204=INT(C204),OR(D204="未着手",D204="進行中")),IF(INT(B204)&lt;'今日の3件'!$C$5,"期限超過",IF(INT(B204)='今日の3件'!$C$5,"今日締切",IF(INT(B204)&lt;='今日の3件'!$C$5+3,"3日以内","これから"))),"入力確認")))</x:f>
      </x:c>
      <x:c r="F204" s="61"/>
      <x:c r="G204" s="66" t="n">
        <x:f>IF(OR(A204="",D204="完了",E204="入力確認"),999999999,INT(B204)*1000+ROW())</x:f>
        <x:v>999999999</x:v>
      </x:c>
      <x:c r="H204" s="66" t="n">
        <x:f>IF(G204=999999999,0,1)</x:f>
        <x:v>0</x:v>
      </x:c>
      <x:c r="I204" s="67" t="n">
        <x:f>IF(H204=0,0,IF(B204&lt;='今日の3件'!$C$5+7-WEEKDAY('今日の3件'!$C$5,2),C204,0))</x:f>
        <x:v>0</x:v>
      </x:c>
      <x:c r="J204" s="67" t="n">
        <x:f>IF(E204="入力確認",1,0)</x:f>
        <x:v>0</x:v>
      </x:c>
      <x:c r="K204" s="67" t="n">
        <x:f>IF(AND(A204&lt;&gt;"",D204="完了"),1,0)</x:f>
        <x:v>0</x:v>
      </x:c>
      <x:c r="L204" s="67" t="n">
        <x:f>IF(A204="",0,1)</x:f>
        <x:v>0</x:v>
      </x:c>
      <x:c r="M204" s="67" t="n">
        <x:f>IF(E204="期限超過",1,0)</x:f>
        <x:v>0</x:v>
      </x:c>
    </x:row>
    <x:row r="205" ht="28" customHeight="1">
      <x:c r="A205" s="62"/>
      <x:c r="B205" s="63"/>
      <x:c r="C205" s="65"/>
      <x:c r="D205" s="61"/>
      <x:c r="E205" s="49" t="str">
        <x:f>IF(A205="","",IF(D205="完了","完了",IF(AND(ISNUMBER(B205),B205&gt;=DATE(2000,1,1),B205&lt;=DATE(2100,12,31),ISNUMBER(C205),C205&gt;0,C205&lt;=100000,C205=INT(C205),OR(D205="未着手",D205="進行中")),IF(INT(B205)&lt;'今日の3件'!$C$5,"期限超過",IF(INT(B205)='今日の3件'!$C$5,"今日締切",IF(INT(B205)&lt;='今日の3件'!$C$5+3,"3日以内","これから"))),"入力確認")))</x:f>
      </x:c>
      <x:c r="F205" s="61"/>
      <x:c r="G205" s="66" t="n">
        <x:f>IF(OR(A205="",D205="完了",E205="入力確認"),999999999,INT(B205)*1000+ROW())</x:f>
        <x:v>999999999</x:v>
      </x:c>
      <x:c r="H205" s="66" t="n">
        <x:f>IF(G205=999999999,0,1)</x:f>
        <x:v>0</x:v>
      </x:c>
      <x:c r="I205" s="67" t="n">
        <x:f>IF(H205=0,0,IF(B205&lt;='今日の3件'!$C$5+7-WEEKDAY('今日の3件'!$C$5,2),C205,0))</x:f>
        <x:v>0</x:v>
      </x:c>
      <x:c r="J205" s="67" t="n">
        <x:f>IF(E205="入力確認",1,0)</x:f>
        <x:v>0</x:v>
      </x:c>
      <x:c r="K205" s="67" t="n">
        <x:f>IF(AND(A205&lt;&gt;"",D205="完了"),1,0)</x:f>
        <x:v>0</x:v>
      </x:c>
      <x:c r="L205" s="67" t="n">
        <x:f>IF(A205="",0,1)</x:f>
        <x:v>0</x:v>
      </x:c>
      <x:c r="M205" s="67" t="n">
        <x:f>IF(E205="期限超過",1,0)</x:f>
        <x:v>0</x:v>
      </x:c>
    </x:row>
  </x:sheetData>
  <x:conditionalFormatting sqref="E6:E205">
    <x:cfRule type="containsText" dxfId="11" priority="1" operator="containsText" text="期限超過"/>
    <x:cfRule type="containsText" dxfId="12" priority="2" operator="containsText" text="今日締切"/>
    <x:cfRule type="containsText" dxfId="13" priority="3" operator="containsText" text="3日以内"/>
    <x:cfRule type="containsText" dxfId="14" priority="4" operator="containsText" text="完了"/>
    <x:cfRule type="containsText" dxfId="15" priority="5" operator="containsText" text="入力確認"/>
  </x:conditionalFormatting>
  <x:dataValidations count="2">
    <x:dataValidation type="list" sqref="D6:D205">
      <x:formula1>"未着手,進行中,完了"</x:formula1>
    </x:dataValidation>
    <x:dataValidation type="whole" operator="between" sqref="C6:C205">
      <x:formula1>1</x:formula1>
      <x:formula2>100000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</x:cols>
  <x:sheetData>
    <x:row r="1">
      <x:c r="A1" s="49"/>
      <x:c r="B1" s="49"/>
      <x:c r="C1" s="49"/>
    </x:row>
    <x:row r="2" ht="38" customHeight="1">
      <x:c r="A2" s="121" t="str">
        <x:v>RYUTTERへ取り込む</x:v>
      </x:c>
      <x:c r="B2" s="121"/>
      <x:c r="C2" s="121"/>
    </x:row>
    <x:row r="3" ht="26" customHeight="1">
      <x:c r="A3" s="126" t="str">
        <x:v>① 課題名・締切日をコピー
② RYUTTERの「課題をまとめて取り込む」へ貼り付け</x:v>
      </x:c>
      <x:c r="B3" s="127" t="str"/>
      <x:c r="C3" s="128" t="str"/>
    </x:row>
    <x:row r="4" ht="26" customHeight="1">
      <x:c r="A4" s="132"/>
      <x:c r="B4" s="133"/>
      <x:c r="C4" s="134"/>
    </x:row>
    <x:row r="5" ht="30" customHeight="1">
      <x:c r="A5" s="137" t="str">
        <x:v>課題名</x:v>
      </x:c>
      <x:c r="B5" s="137" t="str">
        <x:v>締切日</x:v>
      </x:c>
      <x:c r="C5" s="137" t="str">
        <x:v>状態</x:v>
      </x:c>
    </x:row>
    <x:row r="6" ht="24" customHeight="1">
      <x:c r="A6" s="141" t="str">
        <x:f>IF('課題入力'!H6=1,'課題入力'!A6,"")</x:f>
        <x:v>見本：英語レポート</x:v>
      </x:c>
      <x:c r="B6" s="142" t="n">
        <x:f>IF(A6="","",'課題入力'!B6)</x:f>
        <x:v>46272</x:v>
      </x:c>
      <x:c r="C6" s="143" t="str">
        <x:f>IF(A6="","",'課題入力'!E6)</x:f>
        <x:v>3日以内</x:v>
      </x:c>
    </x:row>
    <x:row r="7" ht="24" customHeight="1">
      <x:c r="A7" s="141" t="str">
        <x:f>IF('課題入力'!H7=1,'課題入力'!A7,"")</x:f>
        <x:v>見本：統計の演習</x:v>
      </x:c>
      <x:c r="B7" s="142" t="n">
        <x:f>IF(A7="","",'課題入力'!B7)</x:f>
        <x:v>46274</x:v>
      </x:c>
      <x:c r="C7" s="143" t="str">
        <x:f>IF(A7="","",'課題入力'!E7)</x:f>
        <x:v>3日以内</x:v>
      </x:c>
    </x:row>
    <x:row r="8" ht="24" customHeight="1">
      <x:c r="A8" s="141" t="str">
        <x:f>IF('課題入力'!H8=1,'課題入力'!A8,"")</x:f>
        <x:v>見本：ゼミの資料</x:v>
      </x:c>
      <x:c r="B8" s="142" t="n">
        <x:f>IF(A8="","",'課題入力'!B8)</x:f>
        <x:v>46277</x:v>
      </x:c>
      <x:c r="C8" s="143" t="str">
        <x:f>IF(A8="","",'課題入力'!E8)</x:f>
        <x:v>これから</x:v>
      </x:c>
    </x:row>
    <x:row r="9" ht="24" customHeight="1">
      <x:c r="A9" s="141" t="str">
        <x:f>IF('課題入力'!H9=1,'課題入力'!A9,"")</x:f>
      </x:c>
      <x:c r="B9" s="142" t="str">
        <x:f>IF(A9="","",'課題入力'!B9)</x:f>
      </x:c>
      <x:c r="C9" s="143" t="str">
        <x:f>IF(A9="","",'課題入力'!E9)</x:f>
      </x:c>
    </x:row>
    <x:row r="10" ht="24" customHeight="1">
      <x:c r="A10" s="141" t="str">
        <x:f>IF('課題入力'!H10=1,'課題入力'!A10,"")</x:f>
      </x:c>
      <x:c r="B10" s="142" t="str">
        <x:f>IF(A10="","",'課題入力'!B10)</x:f>
      </x:c>
      <x:c r="C10" s="143" t="str">
        <x:f>IF(A10="","",'課題入力'!E10)</x:f>
      </x:c>
    </x:row>
    <x:row r="11" ht="24" customHeight="1">
      <x:c r="A11" s="141" t="str">
        <x:f>IF('課題入力'!H11=1,'課題入力'!A11,"")</x:f>
      </x:c>
      <x:c r="B11" s="142" t="str">
        <x:f>IF(A11="","",'課題入力'!B11)</x:f>
      </x:c>
      <x:c r="C11" s="143" t="str">
        <x:f>IF(A11="","",'課題入力'!E11)</x:f>
      </x:c>
    </x:row>
    <x:row r="12" ht="24" customHeight="1">
      <x:c r="A12" s="141" t="str">
        <x:f>IF('課題入力'!H12=1,'課題入力'!A12,"")</x:f>
      </x:c>
      <x:c r="B12" s="142" t="str">
        <x:f>IF(A12="","",'課題入力'!B12)</x:f>
      </x:c>
      <x:c r="C12" s="143" t="str">
        <x:f>IF(A12="","",'課題入力'!E12)</x:f>
      </x:c>
    </x:row>
    <x:row r="13" ht="24" customHeight="1">
      <x:c r="A13" s="141" t="str">
        <x:f>IF('課題入力'!H13=1,'課題入力'!A13,"")</x:f>
      </x:c>
      <x:c r="B13" s="142" t="str">
        <x:f>IF(A13="","",'課題入力'!B13)</x:f>
      </x:c>
      <x:c r="C13" s="143" t="str">
        <x:f>IF(A13="","",'課題入力'!E13)</x:f>
      </x:c>
    </x:row>
    <x:row r="14" ht="24" customHeight="1">
      <x:c r="A14" s="141" t="str">
        <x:f>IF('課題入力'!H14=1,'課題入力'!A14,"")</x:f>
      </x:c>
      <x:c r="B14" s="142" t="str">
        <x:f>IF(A14="","",'課題入力'!B14)</x:f>
      </x:c>
      <x:c r="C14" s="143" t="str">
        <x:f>IF(A14="","",'課題入力'!E14)</x:f>
      </x:c>
    </x:row>
    <x:row r="15" ht="24" customHeight="1">
      <x:c r="A15" s="141" t="str">
        <x:f>IF('課題入力'!H15=1,'課題入力'!A15,"")</x:f>
      </x:c>
      <x:c r="B15" s="142" t="str">
        <x:f>IF(A15="","",'課題入力'!B15)</x:f>
      </x:c>
      <x:c r="C15" s="143" t="str">
        <x:f>IF(A15="","",'課題入力'!E15)</x:f>
      </x:c>
    </x:row>
    <x:row r="16" ht="24" customHeight="1">
      <x:c r="A16" s="141" t="str">
        <x:f>IF('課題入力'!H16=1,'課題入力'!A16,"")</x:f>
      </x:c>
      <x:c r="B16" s="142" t="str">
        <x:f>IF(A16="","",'課題入力'!B16)</x:f>
      </x:c>
      <x:c r="C16" s="143" t="str">
        <x:f>IF(A16="","",'課題入力'!E16)</x:f>
      </x:c>
    </x:row>
    <x:row r="17" ht="24" customHeight="1">
      <x:c r="A17" s="141" t="str">
        <x:f>IF('課題入力'!H17=1,'課題入力'!A17,"")</x:f>
      </x:c>
      <x:c r="B17" s="142" t="str">
        <x:f>IF(A17="","",'課題入力'!B17)</x:f>
      </x:c>
      <x:c r="C17" s="143" t="str">
        <x:f>IF(A17="","",'課題入力'!E17)</x:f>
      </x:c>
    </x:row>
    <x:row r="18" ht="24" customHeight="1">
      <x:c r="A18" s="141" t="str">
        <x:f>IF('課題入力'!H18=1,'課題入力'!A18,"")</x:f>
      </x:c>
      <x:c r="B18" s="142" t="str">
        <x:f>IF(A18="","",'課題入力'!B18)</x:f>
      </x:c>
      <x:c r="C18" s="143" t="str">
        <x:f>IF(A18="","",'課題入力'!E18)</x:f>
      </x:c>
    </x:row>
    <x:row r="19" ht="24" customHeight="1">
      <x:c r="A19" s="141" t="str">
        <x:f>IF('課題入力'!H19=1,'課題入力'!A19,"")</x:f>
      </x:c>
      <x:c r="B19" s="142" t="str">
        <x:f>IF(A19="","",'課題入力'!B19)</x:f>
      </x:c>
      <x:c r="C19" s="143" t="str">
        <x:f>IF(A19="","",'課題入力'!E19)</x:f>
      </x:c>
    </x:row>
    <x:row r="20" ht="24" customHeight="1">
      <x:c r="A20" s="141" t="str">
        <x:f>IF('課題入力'!H20=1,'課題入力'!A20,"")</x:f>
      </x:c>
      <x:c r="B20" s="142" t="str">
        <x:f>IF(A20="","",'課題入力'!B20)</x:f>
      </x:c>
      <x:c r="C20" s="143" t="str">
        <x:f>IF(A20="","",'課題入力'!E20)</x:f>
      </x:c>
    </x:row>
    <x:row r="21" ht="24" customHeight="1">
      <x:c r="A21" s="141" t="str">
        <x:f>IF('課題入力'!H21=1,'課題入力'!A21,"")</x:f>
      </x:c>
      <x:c r="B21" s="142" t="str">
        <x:f>IF(A21="","",'課題入力'!B21)</x:f>
      </x:c>
      <x:c r="C21" s="143" t="str">
        <x:f>IF(A21="","",'課題入力'!E21)</x:f>
      </x:c>
    </x:row>
    <x:row r="22" ht="24" customHeight="1">
      <x:c r="A22" s="141" t="str">
        <x:f>IF('課題入力'!H22=1,'課題入力'!A22,"")</x:f>
      </x:c>
      <x:c r="B22" s="142" t="str">
        <x:f>IF(A22="","",'課題入力'!B22)</x:f>
      </x:c>
      <x:c r="C22" s="143" t="str">
        <x:f>IF(A22="","",'課題入力'!E22)</x:f>
      </x:c>
    </x:row>
    <x:row r="23" ht="24" customHeight="1">
      <x:c r="A23" s="141" t="str">
        <x:f>IF('課題入力'!H23=1,'課題入力'!A23,"")</x:f>
      </x:c>
      <x:c r="B23" s="142" t="str">
        <x:f>IF(A23="","",'課題入力'!B23)</x:f>
      </x:c>
      <x:c r="C23" s="143" t="str">
        <x:f>IF(A23="","",'課題入力'!E23)</x:f>
      </x:c>
    </x:row>
    <x:row r="24" ht="24" customHeight="1">
      <x:c r="A24" s="141" t="str">
        <x:f>IF('課題入力'!H24=1,'課題入力'!A24,"")</x:f>
      </x:c>
      <x:c r="B24" s="142" t="str">
        <x:f>IF(A24="","",'課題入力'!B24)</x:f>
      </x:c>
      <x:c r="C24" s="143" t="str">
        <x:f>IF(A24="","",'課題入力'!E24)</x:f>
      </x:c>
    </x:row>
    <x:row r="25" ht="24" customHeight="1">
      <x:c r="A25" s="141" t="str">
        <x:f>IF('課題入力'!H25=1,'課題入力'!A25,"")</x:f>
      </x:c>
      <x:c r="B25" s="142" t="str">
        <x:f>IF(A25="","",'課題入力'!B25)</x:f>
      </x:c>
      <x:c r="C25" s="143" t="str">
        <x:f>IF(A25="","",'課題入力'!E25)</x:f>
      </x:c>
    </x:row>
    <x:row r="26" ht="24" customHeight="1">
      <x:c r="A26" s="141" t="str">
        <x:f>IF('課題入力'!H26=1,'課題入力'!A26,"")</x:f>
      </x:c>
      <x:c r="B26" s="142" t="str">
        <x:f>IF(A26="","",'課題入力'!B26)</x:f>
      </x:c>
      <x:c r="C26" s="143" t="str">
        <x:f>IF(A26="","",'課題入力'!E26)</x:f>
      </x:c>
    </x:row>
    <x:row r="27" ht="24" customHeight="1">
      <x:c r="A27" s="141" t="str">
        <x:f>IF('課題入力'!H27=1,'課題入力'!A27,"")</x:f>
      </x:c>
      <x:c r="B27" s="142" t="str">
        <x:f>IF(A27="","",'課題入力'!B27)</x:f>
      </x:c>
      <x:c r="C27" s="143" t="str">
        <x:f>IF(A27="","",'課題入力'!E27)</x:f>
      </x:c>
    </x:row>
    <x:row r="28" ht="24" customHeight="1">
      <x:c r="A28" s="141" t="str">
        <x:f>IF('課題入力'!H28=1,'課題入力'!A28,"")</x:f>
      </x:c>
      <x:c r="B28" s="142" t="str">
        <x:f>IF(A28="","",'課題入力'!B28)</x:f>
      </x:c>
      <x:c r="C28" s="143" t="str">
        <x:f>IF(A28="","",'課題入力'!E28)</x:f>
      </x:c>
    </x:row>
    <x:row r="29" ht="24" customHeight="1">
      <x:c r="A29" s="141" t="str">
        <x:f>IF('課題入力'!H29=1,'課題入力'!A29,"")</x:f>
      </x:c>
      <x:c r="B29" s="142" t="str">
        <x:f>IF(A29="","",'課題入力'!B29)</x:f>
      </x:c>
      <x:c r="C29" s="143" t="str">
        <x:f>IF(A29="","",'課題入力'!E29)</x:f>
      </x:c>
    </x:row>
    <x:row r="30" ht="24" customHeight="1">
      <x:c r="A30" s="141" t="str">
        <x:f>IF('課題入力'!H30=1,'課題入力'!A30,"")</x:f>
      </x:c>
      <x:c r="B30" s="142" t="str">
        <x:f>IF(A30="","",'課題入力'!B30)</x:f>
      </x:c>
      <x:c r="C30" s="143" t="str">
        <x:f>IF(A30="","",'課題入力'!E30)</x:f>
      </x:c>
    </x:row>
    <x:row r="31" ht="24" customHeight="1">
      <x:c r="A31" s="141" t="str">
        <x:f>IF('課題入力'!H31=1,'課題入力'!A31,"")</x:f>
      </x:c>
      <x:c r="B31" s="142" t="str">
        <x:f>IF(A31="","",'課題入力'!B31)</x:f>
      </x:c>
      <x:c r="C31" s="143" t="str">
        <x:f>IF(A31="","",'課題入力'!E31)</x:f>
      </x:c>
    </x:row>
    <x:row r="32" ht="24" customHeight="1">
      <x:c r="A32" s="141" t="str">
        <x:f>IF('課題入力'!H32=1,'課題入力'!A32,"")</x:f>
      </x:c>
      <x:c r="B32" s="142" t="str">
        <x:f>IF(A32="","",'課題入力'!B32)</x:f>
      </x:c>
      <x:c r="C32" s="143" t="str">
        <x:f>IF(A32="","",'課題入力'!E32)</x:f>
      </x:c>
    </x:row>
    <x:row r="33" ht="24" customHeight="1">
      <x:c r="A33" s="141" t="str">
        <x:f>IF('課題入力'!H33=1,'課題入力'!A33,"")</x:f>
      </x:c>
      <x:c r="B33" s="142" t="str">
        <x:f>IF(A33="","",'課題入力'!B33)</x:f>
      </x:c>
      <x:c r="C33" s="143" t="str">
        <x:f>IF(A33="","",'課題入力'!E33)</x:f>
      </x:c>
    </x:row>
    <x:row r="34" ht="24" customHeight="1">
      <x:c r="A34" s="141" t="str">
        <x:f>IF('課題入力'!H34=1,'課題入力'!A34,"")</x:f>
      </x:c>
      <x:c r="B34" s="142" t="str">
        <x:f>IF(A34="","",'課題入力'!B34)</x:f>
      </x:c>
      <x:c r="C34" s="143" t="str">
        <x:f>IF(A34="","",'課題入力'!E34)</x:f>
      </x:c>
    </x:row>
    <x:row r="35" ht="24" customHeight="1">
      <x:c r="A35" s="141" t="str">
        <x:f>IF('課題入力'!H35=1,'課題入力'!A35,"")</x:f>
      </x:c>
      <x:c r="B35" s="142" t="str">
        <x:f>IF(A35="","",'課題入力'!B35)</x:f>
      </x:c>
      <x:c r="C35" s="143" t="str">
        <x:f>IF(A35="","",'課題入力'!E35)</x:f>
      </x:c>
    </x:row>
    <x:row r="36" ht="24" customHeight="1">
      <x:c r="A36" s="141" t="str">
        <x:f>IF('課題入力'!H36=1,'課題入力'!A36,"")</x:f>
      </x:c>
      <x:c r="B36" s="142" t="str">
        <x:f>IF(A36="","",'課題入力'!B36)</x:f>
      </x:c>
      <x:c r="C36" s="143" t="str">
        <x:f>IF(A36="","",'課題入力'!E36)</x:f>
      </x:c>
    </x:row>
    <x:row r="37" ht="24" customHeight="1">
      <x:c r="A37" s="141" t="str">
        <x:f>IF('課題入力'!H37=1,'課題入力'!A37,"")</x:f>
      </x:c>
      <x:c r="B37" s="142" t="str">
        <x:f>IF(A37="","",'課題入力'!B37)</x:f>
      </x:c>
      <x:c r="C37" s="143" t="str">
        <x:f>IF(A37="","",'課題入力'!E37)</x:f>
      </x:c>
    </x:row>
    <x:row r="38" ht="24" customHeight="1">
      <x:c r="A38" s="141" t="str">
        <x:f>IF('課題入力'!H38=1,'課題入力'!A38,"")</x:f>
      </x:c>
      <x:c r="B38" s="142" t="str">
        <x:f>IF(A38="","",'課題入力'!B38)</x:f>
      </x:c>
      <x:c r="C38" s="143" t="str">
        <x:f>IF(A38="","",'課題入力'!E38)</x:f>
      </x:c>
    </x:row>
    <x:row r="39" ht="24" customHeight="1">
      <x:c r="A39" s="141" t="str">
        <x:f>IF('課題入力'!H39=1,'課題入力'!A39,"")</x:f>
      </x:c>
      <x:c r="B39" s="142" t="str">
        <x:f>IF(A39="","",'課題入力'!B39)</x:f>
      </x:c>
      <x:c r="C39" s="143" t="str">
        <x:f>IF(A39="","",'課題入力'!E39)</x:f>
      </x:c>
    </x:row>
    <x:row r="40" ht="24" customHeight="1">
      <x:c r="A40" s="141" t="str">
        <x:f>IF('課題入力'!H40=1,'課題入力'!A40,"")</x:f>
      </x:c>
      <x:c r="B40" s="142" t="str">
        <x:f>IF(A40="","",'課題入力'!B40)</x:f>
      </x:c>
      <x:c r="C40" s="143" t="str">
        <x:f>IF(A40="","",'課題入力'!E40)</x:f>
      </x:c>
    </x:row>
    <x:row r="41" ht="24" customHeight="1">
      <x:c r="A41" s="141" t="str">
        <x:f>IF('課題入力'!H41=1,'課題入力'!A41,"")</x:f>
      </x:c>
      <x:c r="B41" s="142" t="str">
        <x:f>IF(A41="","",'課題入力'!B41)</x:f>
      </x:c>
      <x:c r="C41" s="143" t="str">
        <x:f>IF(A41="","",'課題入力'!E41)</x:f>
      </x:c>
    </x:row>
    <x:row r="42" ht="24" customHeight="1">
      <x:c r="A42" s="141" t="str">
        <x:f>IF('課題入力'!H42=1,'課題入力'!A42,"")</x:f>
      </x:c>
      <x:c r="B42" s="142" t="str">
        <x:f>IF(A42="","",'課題入力'!B42)</x:f>
      </x:c>
      <x:c r="C42" s="143" t="str">
        <x:f>IF(A42="","",'課題入力'!E42)</x:f>
      </x:c>
    </x:row>
    <x:row r="43" ht="24" customHeight="1">
      <x:c r="A43" s="141" t="str">
        <x:f>IF('課題入力'!H43=1,'課題入力'!A43,"")</x:f>
      </x:c>
      <x:c r="B43" s="142" t="str">
        <x:f>IF(A43="","",'課題入力'!B43)</x:f>
      </x:c>
      <x:c r="C43" s="143" t="str">
        <x:f>IF(A43="","",'課題入力'!E43)</x:f>
      </x:c>
    </x:row>
    <x:row r="44" ht="24" customHeight="1">
      <x:c r="A44" s="141" t="str">
        <x:f>IF('課題入力'!H44=1,'課題入力'!A44,"")</x:f>
      </x:c>
      <x:c r="B44" s="142" t="str">
        <x:f>IF(A44="","",'課題入力'!B44)</x:f>
      </x:c>
      <x:c r="C44" s="143" t="str">
        <x:f>IF(A44="","",'課題入力'!E44)</x:f>
      </x:c>
    </x:row>
    <x:row r="45" ht="24" customHeight="1">
      <x:c r="A45" s="141" t="str">
        <x:f>IF('課題入力'!H45=1,'課題入力'!A45,"")</x:f>
      </x:c>
      <x:c r="B45" s="142" t="str">
        <x:f>IF(A45="","",'課題入力'!B45)</x:f>
      </x:c>
      <x:c r="C45" s="143" t="str">
        <x:f>IF(A45="","",'課題入力'!E45)</x:f>
      </x:c>
    </x:row>
    <x:row r="46" ht="24" customHeight="1">
      <x:c r="A46" s="141" t="str">
        <x:f>IF('課題入力'!H46=1,'課題入力'!A46,"")</x:f>
      </x:c>
      <x:c r="B46" s="142" t="str">
        <x:f>IF(A46="","",'課題入力'!B46)</x:f>
      </x:c>
      <x:c r="C46" s="143" t="str">
        <x:f>IF(A46="","",'課題入力'!E46)</x:f>
      </x:c>
    </x:row>
    <x:row r="47" ht="24" customHeight="1">
      <x:c r="A47" s="141" t="str">
        <x:f>IF('課題入力'!H47=1,'課題入力'!A47,"")</x:f>
      </x:c>
      <x:c r="B47" s="142" t="str">
        <x:f>IF(A47="","",'課題入力'!B47)</x:f>
      </x:c>
      <x:c r="C47" s="143" t="str">
        <x:f>IF(A47="","",'課題入力'!E47)</x:f>
      </x:c>
    </x:row>
    <x:row r="48" ht="24" customHeight="1">
      <x:c r="A48" s="141" t="str">
        <x:f>IF('課題入力'!H48=1,'課題入力'!A48,"")</x:f>
      </x:c>
      <x:c r="B48" s="142" t="str">
        <x:f>IF(A48="","",'課題入力'!B48)</x:f>
      </x:c>
      <x:c r="C48" s="143" t="str">
        <x:f>IF(A48="","",'課題入力'!E48)</x:f>
      </x:c>
    </x:row>
    <x:row r="49" ht="24" customHeight="1">
      <x:c r="A49" s="141" t="str">
        <x:f>IF('課題入力'!H49=1,'課題入力'!A49,"")</x:f>
      </x:c>
      <x:c r="B49" s="142" t="str">
        <x:f>IF(A49="","",'課題入力'!B49)</x:f>
      </x:c>
      <x:c r="C49" s="143" t="str">
        <x:f>IF(A49="","",'課題入力'!E49)</x:f>
      </x:c>
    </x:row>
    <x:row r="50" ht="24" customHeight="1">
      <x:c r="A50" s="141" t="str">
        <x:f>IF('課題入力'!H50=1,'課題入力'!A50,"")</x:f>
      </x:c>
      <x:c r="B50" s="142" t="str">
        <x:f>IF(A50="","",'課題入力'!B50)</x:f>
      </x:c>
      <x:c r="C50" s="143" t="str">
        <x:f>IF(A50="","",'課題入力'!E50)</x:f>
      </x:c>
    </x:row>
    <x:row r="51" ht="24" customHeight="1">
      <x:c r="A51" s="141" t="str">
        <x:f>IF('課題入力'!H51=1,'課題入力'!A51,"")</x:f>
      </x:c>
      <x:c r="B51" s="142" t="str">
        <x:f>IF(A51="","",'課題入力'!B51)</x:f>
      </x:c>
      <x:c r="C51" s="143" t="str">
        <x:f>IF(A51="","",'課題入力'!E51)</x:f>
      </x:c>
    </x:row>
    <x:row r="52" ht="24" customHeight="1">
      <x:c r="A52" s="141" t="str">
        <x:f>IF('課題入力'!H52=1,'課題入力'!A52,"")</x:f>
      </x:c>
      <x:c r="B52" s="142" t="str">
        <x:f>IF(A52="","",'課題入力'!B52)</x:f>
      </x:c>
      <x:c r="C52" s="143" t="str">
        <x:f>IF(A52="","",'課題入力'!E52)</x:f>
      </x:c>
    </x:row>
    <x:row r="53" ht="24" customHeight="1">
      <x:c r="A53" s="141" t="str">
        <x:f>IF('課題入力'!H53=1,'課題入力'!A53,"")</x:f>
      </x:c>
      <x:c r="B53" s="142" t="str">
        <x:f>IF(A53="","",'課題入力'!B53)</x:f>
      </x:c>
      <x:c r="C53" s="143" t="str">
        <x:f>IF(A53="","",'課題入力'!E53)</x:f>
      </x:c>
    </x:row>
    <x:row r="54" ht="24" customHeight="1">
      <x:c r="A54" s="141" t="str">
        <x:f>IF('課題入力'!H54=1,'課題入力'!A54,"")</x:f>
      </x:c>
      <x:c r="B54" s="142" t="str">
        <x:f>IF(A54="","",'課題入力'!B54)</x:f>
      </x:c>
      <x:c r="C54" s="143" t="str">
        <x:f>IF(A54="","",'課題入力'!E54)</x:f>
      </x:c>
    </x:row>
    <x:row r="55" ht="24" customHeight="1">
      <x:c r="A55" s="141" t="str">
        <x:f>IF('課題入力'!H55=1,'課題入力'!A55,"")</x:f>
      </x:c>
      <x:c r="B55" s="142" t="str">
        <x:f>IF(A55="","",'課題入力'!B55)</x:f>
      </x:c>
      <x:c r="C55" s="143" t="str">
        <x:f>IF(A55="","",'課題入力'!E55)</x:f>
      </x:c>
    </x:row>
    <x:row r="56" ht="24" customHeight="1">
      <x:c r="A56" s="141" t="str">
        <x:f>IF('課題入力'!H56=1,'課題入力'!A56,"")</x:f>
      </x:c>
      <x:c r="B56" s="142" t="str">
        <x:f>IF(A56="","",'課題入力'!B56)</x:f>
      </x:c>
      <x:c r="C56" s="143" t="str">
        <x:f>IF(A56="","",'課題入力'!E56)</x:f>
      </x:c>
    </x:row>
    <x:row r="57" ht="24" customHeight="1">
      <x:c r="A57" s="141" t="str">
        <x:f>IF('課題入力'!H57=1,'課題入力'!A57,"")</x:f>
      </x:c>
      <x:c r="B57" s="142" t="str">
        <x:f>IF(A57="","",'課題入力'!B57)</x:f>
      </x:c>
      <x:c r="C57" s="143" t="str">
        <x:f>IF(A57="","",'課題入力'!E57)</x:f>
      </x:c>
    </x:row>
    <x:row r="58" ht="24" customHeight="1">
      <x:c r="A58" s="141" t="str">
        <x:f>IF('課題入力'!H58=1,'課題入力'!A58,"")</x:f>
      </x:c>
      <x:c r="B58" s="142" t="str">
        <x:f>IF(A58="","",'課題入力'!B58)</x:f>
      </x:c>
      <x:c r="C58" s="143" t="str">
        <x:f>IF(A58="","",'課題入力'!E58)</x:f>
      </x:c>
    </x:row>
    <x:row r="59" ht="24" customHeight="1">
      <x:c r="A59" s="141" t="str">
        <x:f>IF('課題入力'!H59=1,'課題入力'!A59,"")</x:f>
      </x:c>
      <x:c r="B59" s="142" t="str">
        <x:f>IF(A59="","",'課題入力'!B59)</x:f>
      </x:c>
      <x:c r="C59" s="143" t="str">
        <x:f>IF(A59="","",'課題入力'!E59)</x:f>
      </x:c>
    </x:row>
    <x:row r="60" ht="24" customHeight="1">
      <x:c r="A60" s="141" t="str">
        <x:f>IF('課題入力'!H60=1,'課題入力'!A60,"")</x:f>
      </x:c>
      <x:c r="B60" s="142" t="str">
        <x:f>IF(A60="","",'課題入力'!B60)</x:f>
      </x:c>
      <x:c r="C60" s="143" t="str">
        <x:f>IF(A60="","",'課題入力'!E60)</x:f>
      </x:c>
    </x:row>
    <x:row r="61" ht="24" customHeight="1">
      <x:c r="A61" s="141" t="str">
        <x:f>IF('課題入力'!H61=1,'課題入力'!A61,"")</x:f>
      </x:c>
      <x:c r="B61" s="142" t="str">
        <x:f>IF(A61="","",'課題入力'!B61)</x:f>
      </x:c>
      <x:c r="C61" s="143" t="str">
        <x:f>IF(A61="","",'課題入力'!E61)</x:f>
      </x:c>
    </x:row>
    <x:row r="62" ht="24" customHeight="1">
      <x:c r="A62" s="141" t="str">
        <x:f>IF('課題入力'!H62=1,'課題入力'!A62,"")</x:f>
      </x:c>
      <x:c r="B62" s="142" t="str">
        <x:f>IF(A62="","",'課題入力'!B62)</x:f>
      </x:c>
      <x:c r="C62" s="143" t="str">
        <x:f>IF(A62="","",'課題入力'!E62)</x:f>
      </x:c>
    </x:row>
    <x:row r="63" ht="24" customHeight="1">
      <x:c r="A63" s="141" t="str">
        <x:f>IF('課題入力'!H63=1,'課題入力'!A63,"")</x:f>
      </x:c>
      <x:c r="B63" s="142" t="str">
        <x:f>IF(A63="","",'課題入力'!B63)</x:f>
      </x:c>
      <x:c r="C63" s="143" t="str">
        <x:f>IF(A63="","",'課題入力'!E63)</x:f>
      </x:c>
    </x:row>
    <x:row r="64" ht="24" customHeight="1">
      <x:c r="A64" s="141" t="str">
        <x:f>IF('課題入力'!H64=1,'課題入力'!A64,"")</x:f>
      </x:c>
      <x:c r="B64" s="142" t="str">
        <x:f>IF(A64="","",'課題入力'!B64)</x:f>
      </x:c>
      <x:c r="C64" s="143" t="str">
        <x:f>IF(A64="","",'課題入力'!E64)</x:f>
      </x:c>
    </x:row>
    <x:row r="65" ht="24" customHeight="1">
      <x:c r="A65" s="141" t="str">
        <x:f>IF('課題入力'!H65=1,'課題入力'!A65,"")</x:f>
      </x:c>
      <x:c r="B65" s="142" t="str">
        <x:f>IF(A65="","",'課題入力'!B65)</x:f>
      </x:c>
      <x:c r="C65" s="143" t="str">
        <x:f>IF(A65="","",'課題入力'!E65)</x:f>
      </x:c>
    </x:row>
    <x:row r="66" ht="24" customHeight="1">
      <x:c r="A66" s="141" t="str">
        <x:f>IF('課題入力'!H66=1,'課題入力'!A66,"")</x:f>
      </x:c>
      <x:c r="B66" s="142" t="str">
        <x:f>IF(A66="","",'課題入力'!B66)</x:f>
      </x:c>
      <x:c r="C66" s="143" t="str">
        <x:f>IF(A66="","",'課題入力'!E66)</x:f>
      </x:c>
    </x:row>
    <x:row r="67" ht="24" customHeight="1">
      <x:c r="A67" s="141" t="str">
        <x:f>IF('課題入力'!H67=1,'課題入力'!A67,"")</x:f>
      </x:c>
      <x:c r="B67" s="142" t="str">
        <x:f>IF(A67="","",'課題入力'!B67)</x:f>
      </x:c>
      <x:c r="C67" s="143" t="str">
        <x:f>IF(A67="","",'課題入力'!E67)</x:f>
      </x:c>
    </x:row>
    <x:row r="68" ht="24" customHeight="1">
      <x:c r="A68" s="141" t="str">
        <x:f>IF('課題入力'!H68=1,'課題入力'!A68,"")</x:f>
      </x:c>
      <x:c r="B68" s="142" t="str">
        <x:f>IF(A68="","",'課題入力'!B68)</x:f>
      </x:c>
      <x:c r="C68" s="143" t="str">
        <x:f>IF(A68="","",'課題入力'!E68)</x:f>
      </x:c>
    </x:row>
    <x:row r="69" ht="24" customHeight="1">
      <x:c r="A69" s="141" t="str">
        <x:f>IF('課題入力'!H69=1,'課題入力'!A69,"")</x:f>
      </x:c>
      <x:c r="B69" s="142" t="str">
        <x:f>IF(A69="","",'課題入力'!B69)</x:f>
      </x:c>
      <x:c r="C69" s="143" t="str">
        <x:f>IF(A69="","",'課題入力'!E69)</x:f>
      </x:c>
    </x:row>
    <x:row r="70" ht="24" customHeight="1">
      <x:c r="A70" s="141" t="str">
        <x:f>IF('課題入力'!H70=1,'課題入力'!A70,"")</x:f>
      </x:c>
      <x:c r="B70" s="142" t="str">
        <x:f>IF(A70="","",'課題入力'!B70)</x:f>
      </x:c>
      <x:c r="C70" s="143" t="str">
        <x:f>IF(A70="","",'課題入力'!E70)</x:f>
      </x:c>
    </x:row>
    <x:row r="71" ht="24" customHeight="1">
      <x:c r="A71" s="141" t="str">
        <x:f>IF('課題入力'!H71=1,'課題入力'!A71,"")</x:f>
      </x:c>
      <x:c r="B71" s="142" t="str">
        <x:f>IF(A71="","",'課題入力'!B71)</x:f>
      </x:c>
      <x:c r="C71" s="143" t="str">
        <x:f>IF(A71="","",'課題入力'!E71)</x:f>
      </x:c>
    </x:row>
    <x:row r="72" ht="24" customHeight="1">
      <x:c r="A72" s="141" t="str">
        <x:f>IF('課題入力'!H72=1,'課題入力'!A72,"")</x:f>
      </x:c>
      <x:c r="B72" s="142" t="str">
        <x:f>IF(A72="","",'課題入力'!B72)</x:f>
      </x:c>
      <x:c r="C72" s="143" t="str">
        <x:f>IF(A72="","",'課題入力'!E72)</x:f>
      </x:c>
    </x:row>
    <x:row r="73" ht="24" customHeight="1">
      <x:c r="A73" s="141" t="str">
        <x:f>IF('課題入力'!H73=1,'課題入力'!A73,"")</x:f>
      </x:c>
      <x:c r="B73" s="142" t="str">
        <x:f>IF(A73="","",'課題入力'!B73)</x:f>
      </x:c>
      <x:c r="C73" s="143" t="str">
        <x:f>IF(A73="","",'課題入力'!E73)</x:f>
      </x:c>
    </x:row>
    <x:row r="74" ht="24" customHeight="1">
      <x:c r="A74" s="141" t="str">
        <x:f>IF('課題入力'!H74=1,'課題入力'!A74,"")</x:f>
      </x:c>
      <x:c r="B74" s="142" t="str">
        <x:f>IF(A74="","",'課題入力'!B74)</x:f>
      </x:c>
      <x:c r="C74" s="143" t="str">
        <x:f>IF(A74="","",'課題入力'!E74)</x:f>
      </x:c>
    </x:row>
    <x:row r="75" ht="24" customHeight="1">
      <x:c r="A75" s="141" t="str">
        <x:f>IF('課題入力'!H75=1,'課題入力'!A75,"")</x:f>
      </x:c>
      <x:c r="B75" s="142" t="str">
        <x:f>IF(A75="","",'課題入力'!B75)</x:f>
      </x:c>
      <x:c r="C75" s="143" t="str">
        <x:f>IF(A75="","",'課題入力'!E75)</x:f>
      </x:c>
    </x:row>
    <x:row r="76" ht="24" customHeight="1">
      <x:c r="A76" s="141" t="str">
        <x:f>IF('課題入力'!H76=1,'課題入力'!A76,"")</x:f>
      </x:c>
      <x:c r="B76" s="142" t="str">
        <x:f>IF(A76="","",'課題入力'!B76)</x:f>
      </x:c>
      <x:c r="C76" s="143" t="str">
        <x:f>IF(A76="","",'課題入力'!E76)</x:f>
      </x:c>
    </x:row>
    <x:row r="77" ht="24" customHeight="1">
      <x:c r="A77" s="141" t="str">
        <x:f>IF('課題入力'!H77=1,'課題入力'!A77,"")</x:f>
      </x:c>
      <x:c r="B77" s="142" t="str">
        <x:f>IF(A77="","",'課題入力'!B77)</x:f>
      </x:c>
      <x:c r="C77" s="143" t="str">
        <x:f>IF(A77="","",'課題入力'!E77)</x:f>
      </x:c>
    </x:row>
    <x:row r="78" ht="24" customHeight="1">
      <x:c r="A78" s="141" t="str">
        <x:f>IF('課題入力'!H78=1,'課題入力'!A78,"")</x:f>
      </x:c>
      <x:c r="B78" s="142" t="str">
        <x:f>IF(A78="","",'課題入力'!B78)</x:f>
      </x:c>
      <x:c r="C78" s="143" t="str">
        <x:f>IF(A78="","",'課題入力'!E78)</x:f>
      </x:c>
    </x:row>
    <x:row r="79" ht="24" customHeight="1">
      <x:c r="A79" s="141" t="str">
        <x:f>IF('課題入力'!H79=1,'課題入力'!A79,"")</x:f>
      </x:c>
      <x:c r="B79" s="142" t="str">
        <x:f>IF(A79="","",'課題入力'!B79)</x:f>
      </x:c>
      <x:c r="C79" s="143" t="str">
        <x:f>IF(A79="","",'課題入力'!E79)</x:f>
      </x:c>
    </x:row>
    <x:row r="80" ht="24" customHeight="1">
      <x:c r="A80" s="141" t="str">
        <x:f>IF('課題入力'!H80=1,'課題入力'!A80,"")</x:f>
      </x:c>
      <x:c r="B80" s="142" t="str">
        <x:f>IF(A80="","",'課題入力'!B80)</x:f>
      </x:c>
      <x:c r="C80" s="143" t="str">
        <x:f>IF(A80="","",'課題入力'!E80)</x:f>
      </x:c>
    </x:row>
    <x:row r="81" ht="24" customHeight="1">
      <x:c r="A81" s="141" t="str">
        <x:f>IF('課題入力'!H81=1,'課題入力'!A81,"")</x:f>
      </x:c>
      <x:c r="B81" s="142" t="str">
        <x:f>IF(A81="","",'課題入力'!B81)</x:f>
      </x:c>
      <x:c r="C81" s="143" t="str">
        <x:f>IF(A81="","",'課題入力'!E81)</x:f>
      </x:c>
    </x:row>
    <x:row r="82" ht="24" customHeight="1">
      <x:c r="A82" s="141" t="str">
        <x:f>IF('課題入力'!H82=1,'課題入力'!A82,"")</x:f>
      </x:c>
      <x:c r="B82" s="142" t="str">
        <x:f>IF(A82="","",'課題入力'!B82)</x:f>
      </x:c>
      <x:c r="C82" s="143" t="str">
        <x:f>IF(A82="","",'課題入力'!E82)</x:f>
      </x:c>
    </x:row>
    <x:row r="83" ht="24" customHeight="1">
      <x:c r="A83" s="141" t="str">
        <x:f>IF('課題入力'!H83=1,'課題入力'!A83,"")</x:f>
      </x:c>
      <x:c r="B83" s="142" t="str">
        <x:f>IF(A83="","",'課題入力'!B83)</x:f>
      </x:c>
      <x:c r="C83" s="143" t="str">
        <x:f>IF(A83="","",'課題入力'!E83)</x:f>
      </x:c>
    </x:row>
    <x:row r="84" ht="24" customHeight="1">
      <x:c r="A84" s="141" t="str">
        <x:f>IF('課題入力'!H84=1,'課題入力'!A84,"")</x:f>
      </x:c>
      <x:c r="B84" s="142" t="str">
        <x:f>IF(A84="","",'課題入力'!B84)</x:f>
      </x:c>
      <x:c r="C84" s="143" t="str">
        <x:f>IF(A84="","",'課題入力'!E84)</x:f>
      </x:c>
    </x:row>
    <x:row r="85" ht="24" customHeight="1">
      <x:c r="A85" s="141" t="str">
        <x:f>IF('課題入力'!H85=1,'課題入力'!A85,"")</x:f>
      </x:c>
      <x:c r="B85" s="142" t="str">
        <x:f>IF(A85="","",'課題入力'!B85)</x:f>
      </x:c>
      <x:c r="C85" s="143" t="str">
        <x:f>IF(A85="","",'課題入力'!E85)</x:f>
      </x:c>
    </x:row>
    <x:row r="86" ht="24" customHeight="1">
      <x:c r="A86" s="141" t="str">
        <x:f>IF('課題入力'!H86=1,'課題入力'!A86,"")</x:f>
      </x:c>
      <x:c r="B86" s="142" t="str">
        <x:f>IF(A86="","",'課題入力'!B86)</x:f>
      </x:c>
      <x:c r="C86" s="143" t="str">
        <x:f>IF(A86="","",'課題入力'!E86)</x:f>
      </x:c>
    </x:row>
    <x:row r="87" ht="24" customHeight="1">
      <x:c r="A87" s="141" t="str">
        <x:f>IF('課題入力'!H87=1,'課題入力'!A87,"")</x:f>
      </x:c>
      <x:c r="B87" s="142" t="str">
        <x:f>IF(A87="","",'課題入力'!B87)</x:f>
      </x:c>
      <x:c r="C87" s="143" t="str">
        <x:f>IF(A87="","",'課題入力'!E87)</x:f>
      </x:c>
    </x:row>
    <x:row r="88" ht="24" customHeight="1">
      <x:c r="A88" s="141" t="str">
        <x:f>IF('課題入力'!H88=1,'課題入力'!A88,"")</x:f>
      </x:c>
      <x:c r="B88" s="142" t="str">
        <x:f>IF(A88="","",'課題入力'!B88)</x:f>
      </x:c>
      <x:c r="C88" s="143" t="str">
        <x:f>IF(A88="","",'課題入力'!E88)</x:f>
      </x:c>
    </x:row>
    <x:row r="89" ht="24" customHeight="1">
      <x:c r="A89" s="141" t="str">
        <x:f>IF('課題入力'!H89=1,'課題入力'!A89,"")</x:f>
      </x:c>
      <x:c r="B89" s="142" t="str">
        <x:f>IF(A89="","",'課題入力'!B89)</x:f>
      </x:c>
      <x:c r="C89" s="143" t="str">
        <x:f>IF(A89="","",'課題入力'!E89)</x:f>
      </x:c>
    </x:row>
    <x:row r="90" ht="24" customHeight="1">
      <x:c r="A90" s="141" t="str">
        <x:f>IF('課題入力'!H90=1,'課題入力'!A90,"")</x:f>
      </x:c>
      <x:c r="B90" s="142" t="str">
        <x:f>IF(A90="","",'課題入力'!B90)</x:f>
      </x:c>
      <x:c r="C90" s="143" t="str">
        <x:f>IF(A90="","",'課題入力'!E90)</x:f>
      </x:c>
    </x:row>
    <x:row r="91" ht="24" customHeight="1">
      <x:c r="A91" s="141" t="str">
        <x:f>IF('課題入力'!H91=1,'課題入力'!A91,"")</x:f>
      </x:c>
      <x:c r="B91" s="142" t="str">
        <x:f>IF(A91="","",'課題入力'!B91)</x:f>
      </x:c>
      <x:c r="C91" s="143" t="str">
        <x:f>IF(A91="","",'課題入力'!E91)</x:f>
      </x:c>
    </x:row>
    <x:row r="92" ht="24" customHeight="1">
      <x:c r="A92" s="141" t="str">
        <x:f>IF('課題入力'!H92=1,'課題入力'!A92,"")</x:f>
      </x:c>
      <x:c r="B92" s="142" t="str">
        <x:f>IF(A92="","",'課題入力'!B92)</x:f>
      </x:c>
      <x:c r="C92" s="143" t="str">
        <x:f>IF(A92="","",'課題入力'!E92)</x:f>
      </x:c>
    </x:row>
    <x:row r="93" ht="24" customHeight="1">
      <x:c r="A93" s="141" t="str">
        <x:f>IF('課題入力'!H93=1,'課題入力'!A93,"")</x:f>
      </x:c>
      <x:c r="B93" s="142" t="str">
        <x:f>IF(A93="","",'課題入力'!B93)</x:f>
      </x:c>
      <x:c r="C93" s="143" t="str">
        <x:f>IF(A93="","",'課題入力'!E93)</x:f>
      </x:c>
    </x:row>
    <x:row r="94" ht="24" customHeight="1">
      <x:c r="A94" s="141" t="str">
        <x:f>IF('課題入力'!H94=1,'課題入力'!A94,"")</x:f>
      </x:c>
      <x:c r="B94" s="142" t="str">
        <x:f>IF(A94="","",'課題入力'!B94)</x:f>
      </x:c>
      <x:c r="C94" s="143" t="str">
        <x:f>IF(A94="","",'課題入力'!E94)</x:f>
      </x:c>
    </x:row>
    <x:row r="95" ht="24" customHeight="1">
      <x:c r="A95" s="141" t="str">
        <x:f>IF('課題入力'!H95=1,'課題入力'!A95,"")</x:f>
      </x:c>
      <x:c r="B95" s="142" t="str">
        <x:f>IF(A95="","",'課題入力'!B95)</x:f>
      </x:c>
      <x:c r="C95" s="143" t="str">
        <x:f>IF(A95="","",'課題入力'!E95)</x:f>
      </x:c>
    </x:row>
    <x:row r="96" ht="24" customHeight="1">
      <x:c r="A96" s="141" t="str">
        <x:f>IF('課題入力'!H96=1,'課題入力'!A96,"")</x:f>
      </x:c>
      <x:c r="B96" s="142" t="str">
        <x:f>IF(A96="","",'課題入力'!B96)</x:f>
      </x:c>
      <x:c r="C96" s="143" t="str">
        <x:f>IF(A96="","",'課題入力'!E96)</x:f>
      </x:c>
    </x:row>
    <x:row r="97" ht="24" customHeight="1">
      <x:c r="A97" s="141" t="str">
        <x:f>IF('課題入力'!H97=1,'課題入力'!A97,"")</x:f>
      </x:c>
      <x:c r="B97" s="142" t="str">
        <x:f>IF(A97="","",'課題入力'!B97)</x:f>
      </x:c>
      <x:c r="C97" s="143" t="str">
        <x:f>IF(A97="","",'課題入力'!E97)</x:f>
      </x:c>
    </x:row>
    <x:row r="98" ht="24" customHeight="1">
      <x:c r="A98" s="141" t="str">
        <x:f>IF('課題入力'!H98=1,'課題入力'!A98,"")</x:f>
      </x:c>
      <x:c r="B98" s="142" t="str">
        <x:f>IF(A98="","",'課題入力'!B98)</x:f>
      </x:c>
      <x:c r="C98" s="143" t="str">
        <x:f>IF(A98="","",'課題入力'!E98)</x:f>
      </x:c>
    </x:row>
    <x:row r="99" ht="24" customHeight="1">
      <x:c r="A99" s="141" t="str">
        <x:f>IF('課題入力'!H99=1,'課題入力'!A99,"")</x:f>
      </x:c>
      <x:c r="B99" s="142" t="str">
        <x:f>IF(A99="","",'課題入力'!B99)</x:f>
      </x:c>
      <x:c r="C99" s="143" t="str">
        <x:f>IF(A99="","",'課題入力'!E99)</x:f>
      </x:c>
    </x:row>
    <x:row r="100" ht="24" customHeight="1">
      <x:c r="A100" s="141" t="str">
        <x:f>IF('課題入力'!H100=1,'課題入力'!A100,"")</x:f>
      </x:c>
      <x:c r="B100" s="142" t="str">
        <x:f>IF(A100="","",'課題入力'!B100)</x:f>
      </x:c>
      <x:c r="C100" s="143" t="str">
        <x:f>IF(A100="","",'課題入力'!E100)</x:f>
      </x:c>
    </x:row>
    <x:row r="101" ht="24" customHeight="1">
      <x:c r="A101" s="141" t="str">
        <x:f>IF('課題入力'!H101=1,'課題入力'!A101,"")</x:f>
      </x:c>
      <x:c r="B101" s="142" t="str">
        <x:f>IF(A101="","",'課題入力'!B101)</x:f>
      </x:c>
      <x:c r="C101" s="143" t="str">
        <x:f>IF(A101="","",'課題入力'!E101)</x:f>
      </x:c>
    </x:row>
    <x:row r="102" ht="24" customHeight="1">
      <x:c r="A102" s="141" t="str">
        <x:f>IF('課題入力'!H102=1,'課題入力'!A102,"")</x:f>
      </x:c>
      <x:c r="B102" s="142" t="str">
        <x:f>IF(A102="","",'課題入力'!B102)</x:f>
      </x:c>
      <x:c r="C102" s="143" t="str">
        <x:f>IF(A102="","",'課題入力'!E102)</x:f>
      </x:c>
    </x:row>
    <x:row r="103" ht="24" customHeight="1">
      <x:c r="A103" s="141" t="str">
        <x:f>IF('課題入力'!H103=1,'課題入力'!A103,"")</x:f>
      </x:c>
      <x:c r="B103" s="142" t="str">
        <x:f>IF(A103="","",'課題入力'!B103)</x:f>
      </x:c>
      <x:c r="C103" s="143" t="str">
        <x:f>IF(A103="","",'課題入力'!E103)</x:f>
      </x:c>
    </x:row>
    <x:row r="104" ht="24" customHeight="1">
      <x:c r="A104" s="141" t="str">
        <x:f>IF('課題入力'!H104=1,'課題入力'!A104,"")</x:f>
      </x:c>
      <x:c r="B104" s="142" t="str">
        <x:f>IF(A104="","",'課題入力'!B104)</x:f>
      </x:c>
      <x:c r="C104" s="143" t="str">
        <x:f>IF(A104="","",'課題入力'!E104)</x:f>
      </x:c>
    </x:row>
    <x:row r="105" ht="24" customHeight="1">
      <x:c r="A105" s="141" t="str">
        <x:f>IF('課題入力'!H105=1,'課題入力'!A105,"")</x:f>
      </x:c>
      <x:c r="B105" s="142" t="str">
        <x:f>IF(A105="","",'課題入力'!B105)</x:f>
      </x:c>
      <x:c r="C105" s="143" t="str">
        <x:f>IF(A105="","",'課題入力'!E105)</x:f>
      </x:c>
    </x:row>
    <x:row r="106" ht="24" customHeight="1">
      <x:c r="A106" s="141" t="str">
        <x:f>IF('課題入力'!H106=1,'課題入力'!A106,"")</x:f>
      </x:c>
      <x:c r="B106" s="142" t="str">
        <x:f>IF(A106="","",'課題入力'!B106)</x:f>
      </x:c>
      <x:c r="C106" s="143" t="str">
        <x:f>IF(A106="","",'課題入力'!E106)</x:f>
      </x:c>
    </x:row>
    <x:row r="107" ht="24" customHeight="1">
      <x:c r="A107" s="141" t="str">
        <x:f>IF('課題入力'!H107=1,'課題入力'!A107,"")</x:f>
      </x:c>
      <x:c r="B107" s="142" t="str">
        <x:f>IF(A107="","",'課題入力'!B107)</x:f>
      </x:c>
      <x:c r="C107" s="143" t="str">
        <x:f>IF(A107="","",'課題入力'!E107)</x:f>
      </x:c>
    </x:row>
    <x:row r="108" ht="24" customHeight="1">
      <x:c r="A108" s="141" t="str">
        <x:f>IF('課題入力'!H108=1,'課題入力'!A108,"")</x:f>
      </x:c>
      <x:c r="B108" s="142" t="str">
        <x:f>IF(A108="","",'課題入力'!B108)</x:f>
      </x:c>
      <x:c r="C108" s="143" t="str">
        <x:f>IF(A108="","",'課題入力'!E108)</x:f>
      </x:c>
    </x:row>
    <x:row r="109" ht="24" customHeight="1">
      <x:c r="A109" s="141" t="str">
        <x:f>IF('課題入力'!H109=1,'課題入力'!A109,"")</x:f>
      </x:c>
      <x:c r="B109" s="142" t="str">
        <x:f>IF(A109="","",'課題入力'!B109)</x:f>
      </x:c>
      <x:c r="C109" s="143" t="str">
        <x:f>IF(A109="","",'課題入力'!E109)</x:f>
      </x:c>
    </x:row>
    <x:row r="110" ht="24" customHeight="1">
      <x:c r="A110" s="141" t="str">
        <x:f>IF('課題入力'!H110=1,'課題入力'!A110,"")</x:f>
      </x:c>
      <x:c r="B110" s="142" t="str">
        <x:f>IF(A110="","",'課題入力'!B110)</x:f>
      </x:c>
      <x:c r="C110" s="143" t="str">
        <x:f>IF(A110="","",'課題入力'!E110)</x:f>
      </x:c>
    </x:row>
    <x:row r="111" ht="24" customHeight="1">
      <x:c r="A111" s="141" t="str">
        <x:f>IF('課題入力'!H111=1,'課題入力'!A111,"")</x:f>
      </x:c>
      <x:c r="B111" s="142" t="str">
        <x:f>IF(A111="","",'課題入力'!B111)</x:f>
      </x:c>
      <x:c r="C111" s="143" t="str">
        <x:f>IF(A111="","",'課題入力'!E111)</x:f>
      </x:c>
    </x:row>
    <x:row r="112" ht="24" customHeight="1">
      <x:c r="A112" s="141" t="str">
        <x:f>IF('課題入力'!H112=1,'課題入力'!A112,"")</x:f>
      </x:c>
      <x:c r="B112" s="142" t="str">
        <x:f>IF(A112="","",'課題入力'!B112)</x:f>
      </x:c>
      <x:c r="C112" s="143" t="str">
        <x:f>IF(A112="","",'課題入力'!E112)</x:f>
      </x:c>
    </x:row>
    <x:row r="113" ht="24" customHeight="1">
      <x:c r="A113" s="141" t="str">
        <x:f>IF('課題入力'!H113=1,'課題入力'!A113,"")</x:f>
      </x:c>
      <x:c r="B113" s="142" t="str">
        <x:f>IF(A113="","",'課題入力'!B113)</x:f>
      </x:c>
      <x:c r="C113" s="143" t="str">
        <x:f>IF(A113="","",'課題入力'!E113)</x:f>
      </x:c>
    </x:row>
    <x:row r="114" ht="24" customHeight="1">
      <x:c r="A114" s="141" t="str">
        <x:f>IF('課題入力'!H114=1,'課題入力'!A114,"")</x:f>
      </x:c>
      <x:c r="B114" s="142" t="str">
        <x:f>IF(A114="","",'課題入力'!B114)</x:f>
      </x:c>
      <x:c r="C114" s="143" t="str">
        <x:f>IF(A114="","",'課題入力'!E114)</x:f>
      </x:c>
    </x:row>
    <x:row r="115" ht="24" customHeight="1">
      <x:c r="A115" s="141" t="str">
        <x:f>IF('課題入力'!H115=1,'課題入力'!A115,"")</x:f>
      </x:c>
      <x:c r="B115" s="142" t="str">
        <x:f>IF(A115="","",'課題入力'!B115)</x:f>
      </x:c>
      <x:c r="C115" s="143" t="str">
        <x:f>IF(A115="","",'課題入力'!E115)</x:f>
      </x:c>
    </x:row>
    <x:row r="116" ht="24" customHeight="1">
      <x:c r="A116" s="141" t="str">
        <x:f>IF('課題入力'!H116=1,'課題入力'!A116,"")</x:f>
      </x:c>
      <x:c r="B116" s="142" t="str">
        <x:f>IF(A116="","",'課題入力'!B116)</x:f>
      </x:c>
      <x:c r="C116" s="143" t="str">
        <x:f>IF(A116="","",'課題入力'!E116)</x:f>
      </x:c>
    </x:row>
    <x:row r="117" ht="24" customHeight="1">
      <x:c r="A117" s="141" t="str">
        <x:f>IF('課題入力'!H117=1,'課題入力'!A117,"")</x:f>
      </x:c>
      <x:c r="B117" s="142" t="str">
        <x:f>IF(A117="","",'課題入力'!B117)</x:f>
      </x:c>
      <x:c r="C117" s="143" t="str">
        <x:f>IF(A117="","",'課題入力'!E117)</x:f>
      </x:c>
    </x:row>
    <x:row r="118" ht="24" customHeight="1">
      <x:c r="A118" s="141" t="str">
        <x:f>IF('課題入力'!H118=1,'課題入力'!A118,"")</x:f>
      </x:c>
      <x:c r="B118" s="142" t="str">
        <x:f>IF(A118="","",'課題入力'!B118)</x:f>
      </x:c>
      <x:c r="C118" s="143" t="str">
        <x:f>IF(A118="","",'課題入力'!E118)</x:f>
      </x:c>
    </x:row>
    <x:row r="119" ht="24" customHeight="1">
      <x:c r="A119" s="141" t="str">
        <x:f>IF('課題入力'!H119=1,'課題入力'!A119,"")</x:f>
      </x:c>
      <x:c r="B119" s="142" t="str">
        <x:f>IF(A119="","",'課題入力'!B119)</x:f>
      </x:c>
      <x:c r="C119" s="143" t="str">
        <x:f>IF(A119="","",'課題入力'!E119)</x:f>
      </x:c>
    </x:row>
    <x:row r="120" ht="24" customHeight="1">
      <x:c r="A120" s="141" t="str">
        <x:f>IF('課題入力'!H120=1,'課題入力'!A120,"")</x:f>
      </x:c>
      <x:c r="B120" s="142" t="str">
        <x:f>IF(A120="","",'課題入力'!B120)</x:f>
      </x:c>
      <x:c r="C120" s="143" t="str">
        <x:f>IF(A120="","",'課題入力'!E120)</x:f>
      </x:c>
    </x:row>
    <x:row r="121" ht="24" customHeight="1">
      <x:c r="A121" s="141" t="str">
        <x:f>IF('課題入力'!H121=1,'課題入力'!A121,"")</x:f>
      </x:c>
      <x:c r="B121" s="142" t="str">
        <x:f>IF(A121="","",'課題入力'!B121)</x:f>
      </x:c>
      <x:c r="C121" s="143" t="str">
        <x:f>IF(A121="","",'課題入力'!E121)</x:f>
      </x:c>
    </x:row>
    <x:row r="122" ht="24" customHeight="1">
      <x:c r="A122" s="141" t="str">
        <x:f>IF('課題入力'!H122=1,'課題入力'!A122,"")</x:f>
      </x:c>
      <x:c r="B122" s="142" t="str">
        <x:f>IF(A122="","",'課題入力'!B122)</x:f>
      </x:c>
      <x:c r="C122" s="143" t="str">
        <x:f>IF(A122="","",'課題入力'!E122)</x:f>
      </x:c>
    </x:row>
    <x:row r="123" ht="24" customHeight="1">
      <x:c r="A123" s="141" t="str">
        <x:f>IF('課題入力'!H123=1,'課題入力'!A123,"")</x:f>
      </x:c>
      <x:c r="B123" s="142" t="str">
        <x:f>IF(A123="","",'課題入力'!B123)</x:f>
      </x:c>
      <x:c r="C123" s="143" t="str">
        <x:f>IF(A123="","",'課題入力'!E123)</x:f>
      </x:c>
    </x:row>
    <x:row r="124" ht="24" customHeight="1">
      <x:c r="A124" s="141" t="str">
        <x:f>IF('課題入力'!H124=1,'課題入力'!A124,"")</x:f>
      </x:c>
      <x:c r="B124" s="142" t="str">
        <x:f>IF(A124="","",'課題入力'!B124)</x:f>
      </x:c>
      <x:c r="C124" s="143" t="str">
        <x:f>IF(A124="","",'課題入力'!E124)</x:f>
      </x:c>
    </x:row>
    <x:row r="125" ht="24" customHeight="1">
      <x:c r="A125" s="141" t="str">
        <x:f>IF('課題入力'!H125=1,'課題入力'!A125,"")</x:f>
      </x:c>
      <x:c r="B125" s="142" t="str">
        <x:f>IF(A125="","",'課題入力'!B125)</x:f>
      </x:c>
      <x:c r="C125" s="143" t="str">
        <x:f>IF(A125="","",'課題入力'!E125)</x:f>
      </x:c>
    </x:row>
    <x:row r="126" ht="24" customHeight="1">
      <x:c r="A126" s="141" t="str">
        <x:f>IF('課題入力'!H126=1,'課題入力'!A126,"")</x:f>
      </x:c>
      <x:c r="B126" s="142" t="str">
        <x:f>IF(A126="","",'課題入力'!B126)</x:f>
      </x:c>
      <x:c r="C126" s="143" t="str">
        <x:f>IF(A126="","",'課題入力'!E126)</x:f>
      </x:c>
    </x:row>
    <x:row r="127" ht="24" customHeight="1">
      <x:c r="A127" s="141" t="str">
        <x:f>IF('課題入力'!H127=1,'課題入力'!A127,"")</x:f>
      </x:c>
      <x:c r="B127" s="142" t="str">
        <x:f>IF(A127="","",'課題入力'!B127)</x:f>
      </x:c>
      <x:c r="C127" s="143" t="str">
        <x:f>IF(A127="","",'課題入力'!E127)</x:f>
      </x:c>
    </x:row>
    <x:row r="128" ht="24" customHeight="1">
      <x:c r="A128" s="141" t="str">
        <x:f>IF('課題入力'!H128=1,'課題入力'!A128,"")</x:f>
      </x:c>
      <x:c r="B128" s="142" t="str">
        <x:f>IF(A128="","",'課題入力'!B128)</x:f>
      </x:c>
      <x:c r="C128" s="143" t="str">
        <x:f>IF(A128="","",'課題入力'!E128)</x:f>
      </x:c>
    </x:row>
    <x:row r="129" ht="24" customHeight="1">
      <x:c r="A129" s="141" t="str">
        <x:f>IF('課題入力'!H129=1,'課題入力'!A129,"")</x:f>
      </x:c>
      <x:c r="B129" s="142" t="str">
        <x:f>IF(A129="","",'課題入力'!B129)</x:f>
      </x:c>
      <x:c r="C129" s="143" t="str">
        <x:f>IF(A129="","",'課題入力'!E129)</x:f>
      </x:c>
    </x:row>
    <x:row r="130" ht="24" customHeight="1">
      <x:c r="A130" s="141" t="str">
        <x:f>IF('課題入力'!H130=1,'課題入力'!A130,"")</x:f>
      </x:c>
      <x:c r="B130" s="142" t="str">
        <x:f>IF(A130="","",'課題入力'!B130)</x:f>
      </x:c>
      <x:c r="C130" s="143" t="str">
        <x:f>IF(A130="","",'課題入力'!E130)</x:f>
      </x:c>
    </x:row>
    <x:row r="131" ht="24" customHeight="1">
      <x:c r="A131" s="141" t="str">
        <x:f>IF('課題入力'!H131=1,'課題入力'!A131,"")</x:f>
      </x:c>
      <x:c r="B131" s="142" t="str">
        <x:f>IF(A131="","",'課題入力'!B131)</x:f>
      </x:c>
      <x:c r="C131" s="143" t="str">
        <x:f>IF(A131="","",'課題入力'!E131)</x:f>
      </x:c>
    </x:row>
    <x:row r="132" ht="24" customHeight="1">
      <x:c r="A132" s="141" t="str">
        <x:f>IF('課題入力'!H132=1,'課題入力'!A132,"")</x:f>
      </x:c>
      <x:c r="B132" s="142" t="str">
        <x:f>IF(A132="","",'課題入力'!B132)</x:f>
      </x:c>
      <x:c r="C132" s="143" t="str">
        <x:f>IF(A132="","",'課題入力'!E132)</x:f>
      </x:c>
    </x:row>
    <x:row r="133" ht="24" customHeight="1">
      <x:c r="A133" s="141" t="str">
        <x:f>IF('課題入力'!H133=1,'課題入力'!A133,"")</x:f>
      </x:c>
      <x:c r="B133" s="142" t="str">
        <x:f>IF(A133="","",'課題入力'!B133)</x:f>
      </x:c>
      <x:c r="C133" s="143" t="str">
        <x:f>IF(A133="","",'課題入力'!E133)</x:f>
      </x:c>
    </x:row>
    <x:row r="134" ht="24" customHeight="1">
      <x:c r="A134" s="141" t="str">
        <x:f>IF('課題入力'!H134=1,'課題入力'!A134,"")</x:f>
      </x:c>
      <x:c r="B134" s="142" t="str">
        <x:f>IF(A134="","",'課題入力'!B134)</x:f>
      </x:c>
      <x:c r="C134" s="143" t="str">
        <x:f>IF(A134="","",'課題入力'!E134)</x:f>
      </x:c>
    </x:row>
    <x:row r="135" ht="24" customHeight="1">
      <x:c r="A135" s="141" t="str">
        <x:f>IF('課題入力'!H135=1,'課題入力'!A135,"")</x:f>
      </x:c>
      <x:c r="B135" s="142" t="str">
        <x:f>IF(A135="","",'課題入力'!B135)</x:f>
      </x:c>
      <x:c r="C135" s="143" t="str">
        <x:f>IF(A135="","",'課題入力'!E135)</x:f>
      </x:c>
    </x:row>
    <x:row r="136" ht="24" customHeight="1">
      <x:c r="A136" s="141" t="str">
        <x:f>IF('課題入力'!H136=1,'課題入力'!A136,"")</x:f>
      </x:c>
      <x:c r="B136" s="142" t="str">
        <x:f>IF(A136="","",'課題入力'!B136)</x:f>
      </x:c>
      <x:c r="C136" s="143" t="str">
        <x:f>IF(A136="","",'課題入力'!E136)</x:f>
      </x:c>
    </x:row>
    <x:row r="137" ht="24" customHeight="1">
      <x:c r="A137" s="141" t="str">
        <x:f>IF('課題入力'!H137=1,'課題入力'!A137,"")</x:f>
      </x:c>
      <x:c r="B137" s="142" t="str">
        <x:f>IF(A137="","",'課題入力'!B137)</x:f>
      </x:c>
      <x:c r="C137" s="143" t="str">
        <x:f>IF(A137="","",'課題入力'!E137)</x:f>
      </x:c>
    </x:row>
    <x:row r="138" ht="24" customHeight="1">
      <x:c r="A138" s="141" t="str">
        <x:f>IF('課題入力'!H138=1,'課題入力'!A138,"")</x:f>
      </x:c>
      <x:c r="B138" s="142" t="str">
        <x:f>IF(A138="","",'課題入力'!B138)</x:f>
      </x:c>
      <x:c r="C138" s="143" t="str">
        <x:f>IF(A138="","",'課題入力'!E138)</x:f>
      </x:c>
    </x:row>
    <x:row r="139" ht="24" customHeight="1">
      <x:c r="A139" s="141" t="str">
        <x:f>IF('課題入力'!H139=1,'課題入力'!A139,"")</x:f>
      </x:c>
      <x:c r="B139" s="142" t="str">
        <x:f>IF(A139="","",'課題入力'!B139)</x:f>
      </x:c>
      <x:c r="C139" s="143" t="str">
        <x:f>IF(A139="","",'課題入力'!E139)</x:f>
      </x:c>
    </x:row>
    <x:row r="140" ht="24" customHeight="1">
      <x:c r="A140" s="141" t="str">
        <x:f>IF('課題入力'!H140=1,'課題入力'!A140,"")</x:f>
      </x:c>
      <x:c r="B140" s="142" t="str">
        <x:f>IF(A140="","",'課題入力'!B140)</x:f>
      </x:c>
      <x:c r="C140" s="143" t="str">
        <x:f>IF(A140="","",'課題入力'!E140)</x:f>
      </x:c>
    </x:row>
    <x:row r="141" ht="24" customHeight="1">
      <x:c r="A141" s="141" t="str">
        <x:f>IF('課題入力'!H141=1,'課題入力'!A141,"")</x:f>
      </x:c>
      <x:c r="B141" s="142" t="str">
        <x:f>IF(A141="","",'課題入力'!B141)</x:f>
      </x:c>
      <x:c r="C141" s="143" t="str">
        <x:f>IF(A141="","",'課題入力'!E141)</x:f>
      </x:c>
    </x:row>
    <x:row r="142" ht="24" customHeight="1">
      <x:c r="A142" s="141" t="str">
        <x:f>IF('課題入力'!H142=1,'課題入力'!A142,"")</x:f>
      </x:c>
      <x:c r="B142" s="142" t="str">
        <x:f>IF(A142="","",'課題入力'!B142)</x:f>
      </x:c>
      <x:c r="C142" s="143" t="str">
        <x:f>IF(A142="","",'課題入力'!E142)</x:f>
      </x:c>
    </x:row>
    <x:row r="143" ht="24" customHeight="1">
      <x:c r="A143" s="141" t="str">
        <x:f>IF('課題入力'!H143=1,'課題入力'!A143,"")</x:f>
      </x:c>
      <x:c r="B143" s="142" t="str">
        <x:f>IF(A143="","",'課題入力'!B143)</x:f>
      </x:c>
      <x:c r="C143" s="143" t="str">
        <x:f>IF(A143="","",'課題入力'!E143)</x:f>
      </x:c>
    </x:row>
    <x:row r="144" ht="24" customHeight="1">
      <x:c r="A144" s="141" t="str">
        <x:f>IF('課題入力'!H144=1,'課題入力'!A144,"")</x:f>
      </x:c>
      <x:c r="B144" s="142" t="str">
        <x:f>IF(A144="","",'課題入力'!B144)</x:f>
      </x:c>
      <x:c r="C144" s="143" t="str">
        <x:f>IF(A144="","",'課題入力'!E144)</x:f>
      </x:c>
    </x:row>
    <x:row r="145" ht="24" customHeight="1">
      <x:c r="A145" s="141" t="str">
        <x:f>IF('課題入力'!H145=1,'課題入力'!A145,"")</x:f>
      </x:c>
      <x:c r="B145" s="142" t="str">
        <x:f>IF(A145="","",'課題入力'!B145)</x:f>
      </x:c>
      <x:c r="C145" s="143" t="str">
        <x:f>IF(A145="","",'課題入力'!E145)</x:f>
      </x:c>
    </x:row>
    <x:row r="146" ht="24" customHeight="1">
      <x:c r="A146" s="141" t="str">
        <x:f>IF('課題入力'!H146=1,'課題入力'!A146,"")</x:f>
      </x:c>
      <x:c r="B146" s="142" t="str">
        <x:f>IF(A146="","",'課題入力'!B146)</x:f>
      </x:c>
      <x:c r="C146" s="143" t="str">
        <x:f>IF(A146="","",'課題入力'!E146)</x:f>
      </x:c>
    </x:row>
    <x:row r="147" ht="24" customHeight="1">
      <x:c r="A147" s="141" t="str">
        <x:f>IF('課題入力'!H147=1,'課題入力'!A147,"")</x:f>
      </x:c>
      <x:c r="B147" s="142" t="str">
        <x:f>IF(A147="","",'課題入力'!B147)</x:f>
      </x:c>
      <x:c r="C147" s="143" t="str">
        <x:f>IF(A147="","",'課題入力'!E147)</x:f>
      </x:c>
    </x:row>
    <x:row r="148" ht="24" customHeight="1">
      <x:c r="A148" s="141" t="str">
        <x:f>IF('課題入力'!H148=1,'課題入力'!A148,"")</x:f>
      </x:c>
      <x:c r="B148" s="142" t="str">
        <x:f>IF(A148="","",'課題入力'!B148)</x:f>
      </x:c>
      <x:c r="C148" s="143" t="str">
        <x:f>IF(A148="","",'課題入力'!E148)</x:f>
      </x:c>
    </x:row>
    <x:row r="149" ht="24" customHeight="1">
      <x:c r="A149" s="141" t="str">
        <x:f>IF('課題入力'!H149=1,'課題入力'!A149,"")</x:f>
      </x:c>
      <x:c r="B149" s="142" t="str">
        <x:f>IF(A149="","",'課題入力'!B149)</x:f>
      </x:c>
      <x:c r="C149" s="143" t="str">
        <x:f>IF(A149="","",'課題入力'!E149)</x:f>
      </x:c>
    </x:row>
    <x:row r="150" ht="24" customHeight="1">
      <x:c r="A150" s="141" t="str">
        <x:f>IF('課題入力'!H150=1,'課題入力'!A150,"")</x:f>
      </x:c>
      <x:c r="B150" s="142" t="str">
        <x:f>IF(A150="","",'課題入力'!B150)</x:f>
      </x:c>
      <x:c r="C150" s="143" t="str">
        <x:f>IF(A150="","",'課題入力'!E150)</x:f>
      </x:c>
    </x:row>
    <x:row r="151" ht="24" customHeight="1">
      <x:c r="A151" s="141" t="str">
        <x:f>IF('課題入力'!H151=1,'課題入力'!A151,"")</x:f>
      </x:c>
      <x:c r="B151" s="142" t="str">
        <x:f>IF(A151="","",'課題入力'!B151)</x:f>
      </x:c>
      <x:c r="C151" s="143" t="str">
        <x:f>IF(A151="","",'課題入力'!E151)</x:f>
      </x:c>
    </x:row>
    <x:row r="152" ht="24" customHeight="1">
      <x:c r="A152" s="141" t="str">
        <x:f>IF('課題入力'!H152=1,'課題入力'!A152,"")</x:f>
      </x:c>
      <x:c r="B152" s="142" t="str">
        <x:f>IF(A152="","",'課題入力'!B152)</x:f>
      </x:c>
      <x:c r="C152" s="143" t="str">
        <x:f>IF(A152="","",'課題入力'!E152)</x:f>
      </x:c>
    </x:row>
    <x:row r="153" ht="24" customHeight="1">
      <x:c r="A153" s="141" t="str">
        <x:f>IF('課題入力'!H153=1,'課題入力'!A153,"")</x:f>
      </x:c>
      <x:c r="B153" s="142" t="str">
        <x:f>IF(A153="","",'課題入力'!B153)</x:f>
      </x:c>
      <x:c r="C153" s="143" t="str">
        <x:f>IF(A153="","",'課題入力'!E153)</x:f>
      </x:c>
    </x:row>
    <x:row r="154" ht="24" customHeight="1">
      <x:c r="A154" s="141" t="str">
        <x:f>IF('課題入力'!H154=1,'課題入力'!A154,"")</x:f>
      </x:c>
      <x:c r="B154" s="142" t="str">
        <x:f>IF(A154="","",'課題入力'!B154)</x:f>
      </x:c>
      <x:c r="C154" s="143" t="str">
        <x:f>IF(A154="","",'課題入力'!E154)</x:f>
      </x:c>
    </x:row>
    <x:row r="155" ht="24" customHeight="1">
      <x:c r="A155" s="141" t="str">
        <x:f>IF('課題入力'!H155=1,'課題入力'!A155,"")</x:f>
      </x:c>
      <x:c r="B155" s="142" t="str">
        <x:f>IF(A155="","",'課題入力'!B155)</x:f>
      </x:c>
      <x:c r="C155" s="143" t="str">
        <x:f>IF(A155="","",'課題入力'!E155)</x:f>
      </x:c>
    </x:row>
    <x:row r="156" ht="24" customHeight="1">
      <x:c r="A156" s="141" t="str">
        <x:f>IF('課題入力'!H156=1,'課題入力'!A156,"")</x:f>
      </x:c>
      <x:c r="B156" s="142" t="str">
        <x:f>IF(A156="","",'課題入力'!B156)</x:f>
      </x:c>
      <x:c r="C156" s="143" t="str">
        <x:f>IF(A156="","",'課題入力'!E156)</x:f>
      </x:c>
    </x:row>
    <x:row r="157" ht="24" customHeight="1">
      <x:c r="A157" s="141" t="str">
        <x:f>IF('課題入力'!H157=1,'課題入力'!A157,"")</x:f>
      </x:c>
      <x:c r="B157" s="142" t="str">
        <x:f>IF(A157="","",'課題入力'!B157)</x:f>
      </x:c>
      <x:c r="C157" s="143" t="str">
        <x:f>IF(A157="","",'課題入力'!E157)</x:f>
      </x:c>
    </x:row>
    <x:row r="158" ht="24" customHeight="1">
      <x:c r="A158" s="141" t="str">
        <x:f>IF('課題入力'!H158=1,'課題入力'!A158,"")</x:f>
      </x:c>
      <x:c r="B158" s="142" t="str">
        <x:f>IF(A158="","",'課題入力'!B158)</x:f>
      </x:c>
      <x:c r="C158" s="143" t="str">
        <x:f>IF(A158="","",'課題入力'!E158)</x:f>
      </x:c>
    </x:row>
    <x:row r="159" ht="24" customHeight="1">
      <x:c r="A159" s="141" t="str">
        <x:f>IF('課題入力'!H159=1,'課題入力'!A159,"")</x:f>
      </x:c>
      <x:c r="B159" s="142" t="str">
        <x:f>IF(A159="","",'課題入力'!B159)</x:f>
      </x:c>
      <x:c r="C159" s="143" t="str">
        <x:f>IF(A159="","",'課題入力'!E159)</x:f>
      </x:c>
    </x:row>
    <x:row r="160" ht="24" customHeight="1">
      <x:c r="A160" s="141" t="str">
        <x:f>IF('課題入力'!H160=1,'課題入力'!A160,"")</x:f>
      </x:c>
      <x:c r="B160" s="142" t="str">
        <x:f>IF(A160="","",'課題入力'!B160)</x:f>
      </x:c>
      <x:c r="C160" s="143" t="str">
        <x:f>IF(A160="","",'課題入力'!E160)</x:f>
      </x:c>
    </x:row>
    <x:row r="161" ht="24" customHeight="1">
      <x:c r="A161" s="141" t="str">
        <x:f>IF('課題入力'!H161=1,'課題入力'!A161,"")</x:f>
      </x:c>
      <x:c r="B161" s="142" t="str">
        <x:f>IF(A161="","",'課題入力'!B161)</x:f>
      </x:c>
      <x:c r="C161" s="143" t="str">
        <x:f>IF(A161="","",'課題入力'!E161)</x:f>
      </x:c>
    </x:row>
    <x:row r="162" ht="24" customHeight="1">
      <x:c r="A162" s="141" t="str">
        <x:f>IF('課題入力'!H162=1,'課題入力'!A162,"")</x:f>
      </x:c>
      <x:c r="B162" s="142" t="str">
        <x:f>IF(A162="","",'課題入力'!B162)</x:f>
      </x:c>
      <x:c r="C162" s="143" t="str">
        <x:f>IF(A162="","",'課題入力'!E162)</x:f>
      </x:c>
    </x:row>
    <x:row r="163" ht="24" customHeight="1">
      <x:c r="A163" s="141" t="str">
        <x:f>IF('課題入力'!H163=1,'課題入力'!A163,"")</x:f>
      </x:c>
      <x:c r="B163" s="142" t="str">
        <x:f>IF(A163="","",'課題入力'!B163)</x:f>
      </x:c>
      <x:c r="C163" s="143" t="str">
        <x:f>IF(A163="","",'課題入力'!E163)</x:f>
      </x:c>
    </x:row>
    <x:row r="164" ht="24" customHeight="1">
      <x:c r="A164" s="141" t="str">
        <x:f>IF('課題入力'!H164=1,'課題入力'!A164,"")</x:f>
      </x:c>
      <x:c r="B164" s="142" t="str">
        <x:f>IF(A164="","",'課題入力'!B164)</x:f>
      </x:c>
      <x:c r="C164" s="143" t="str">
        <x:f>IF(A164="","",'課題入力'!E164)</x:f>
      </x:c>
    </x:row>
    <x:row r="165" ht="24" customHeight="1">
      <x:c r="A165" s="141" t="str">
        <x:f>IF('課題入力'!H165=1,'課題入力'!A165,"")</x:f>
      </x:c>
      <x:c r="B165" s="142" t="str">
        <x:f>IF(A165="","",'課題入力'!B165)</x:f>
      </x:c>
      <x:c r="C165" s="143" t="str">
        <x:f>IF(A165="","",'課題入力'!E165)</x:f>
      </x:c>
    </x:row>
    <x:row r="166" ht="24" customHeight="1">
      <x:c r="A166" s="141" t="str">
        <x:f>IF('課題入力'!H166=1,'課題入力'!A166,"")</x:f>
      </x:c>
      <x:c r="B166" s="142" t="str">
        <x:f>IF(A166="","",'課題入力'!B166)</x:f>
      </x:c>
      <x:c r="C166" s="143" t="str">
        <x:f>IF(A166="","",'課題入力'!E166)</x:f>
      </x:c>
    </x:row>
    <x:row r="167" ht="24" customHeight="1">
      <x:c r="A167" s="141" t="str">
        <x:f>IF('課題入力'!H167=1,'課題入力'!A167,"")</x:f>
      </x:c>
      <x:c r="B167" s="142" t="str">
        <x:f>IF(A167="","",'課題入力'!B167)</x:f>
      </x:c>
      <x:c r="C167" s="143" t="str">
        <x:f>IF(A167="","",'課題入力'!E167)</x:f>
      </x:c>
    </x:row>
    <x:row r="168" ht="24" customHeight="1">
      <x:c r="A168" s="141" t="str">
        <x:f>IF('課題入力'!H168=1,'課題入力'!A168,"")</x:f>
      </x:c>
      <x:c r="B168" s="142" t="str">
        <x:f>IF(A168="","",'課題入力'!B168)</x:f>
      </x:c>
      <x:c r="C168" s="143" t="str">
        <x:f>IF(A168="","",'課題入力'!E168)</x:f>
      </x:c>
    </x:row>
    <x:row r="169" ht="24" customHeight="1">
      <x:c r="A169" s="141" t="str">
        <x:f>IF('課題入力'!H169=1,'課題入力'!A169,"")</x:f>
      </x:c>
      <x:c r="B169" s="142" t="str">
        <x:f>IF(A169="","",'課題入力'!B169)</x:f>
      </x:c>
      <x:c r="C169" s="143" t="str">
        <x:f>IF(A169="","",'課題入力'!E169)</x:f>
      </x:c>
    </x:row>
    <x:row r="170" ht="24" customHeight="1">
      <x:c r="A170" s="141" t="str">
        <x:f>IF('課題入力'!H170=1,'課題入力'!A170,"")</x:f>
      </x:c>
      <x:c r="B170" s="142" t="str">
        <x:f>IF(A170="","",'課題入力'!B170)</x:f>
      </x:c>
      <x:c r="C170" s="143" t="str">
        <x:f>IF(A170="","",'課題入力'!E170)</x:f>
      </x:c>
    </x:row>
    <x:row r="171" ht="24" customHeight="1">
      <x:c r="A171" s="141" t="str">
        <x:f>IF('課題入力'!H171=1,'課題入力'!A171,"")</x:f>
      </x:c>
      <x:c r="B171" s="142" t="str">
        <x:f>IF(A171="","",'課題入力'!B171)</x:f>
      </x:c>
      <x:c r="C171" s="143" t="str">
        <x:f>IF(A171="","",'課題入力'!E171)</x:f>
      </x:c>
    </x:row>
    <x:row r="172" ht="24" customHeight="1">
      <x:c r="A172" s="141" t="str">
        <x:f>IF('課題入力'!H172=1,'課題入力'!A172,"")</x:f>
      </x:c>
      <x:c r="B172" s="142" t="str">
        <x:f>IF(A172="","",'課題入力'!B172)</x:f>
      </x:c>
      <x:c r="C172" s="143" t="str">
        <x:f>IF(A172="","",'課題入力'!E172)</x:f>
      </x:c>
    </x:row>
    <x:row r="173" ht="24" customHeight="1">
      <x:c r="A173" s="141" t="str">
        <x:f>IF('課題入力'!H173=1,'課題入力'!A173,"")</x:f>
      </x:c>
      <x:c r="B173" s="142" t="str">
        <x:f>IF(A173="","",'課題入力'!B173)</x:f>
      </x:c>
      <x:c r="C173" s="143" t="str">
        <x:f>IF(A173="","",'課題入力'!E173)</x:f>
      </x:c>
    </x:row>
    <x:row r="174" ht="24" customHeight="1">
      <x:c r="A174" s="141" t="str">
        <x:f>IF('課題入力'!H174=1,'課題入力'!A174,"")</x:f>
      </x:c>
      <x:c r="B174" s="142" t="str">
        <x:f>IF(A174="","",'課題入力'!B174)</x:f>
      </x:c>
      <x:c r="C174" s="143" t="str">
        <x:f>IF(A174="","",'課題入力'!E174)</x:f>
      </x:c>
    </x:row>
    <x:row r="175" ht="24" customHeight="1">
      <x:c r="A175" s="141" t="str">
        <x:f>IF('課題入力'!H175=1,'課題入力'!A175,"")</x:f>
      </x:c>
      <x:c r="B175" s="142" t="str">
        <x:f>IF(A175="","",'課題入力'!B175)</x:f>
      </x:c>
      <x:c r="C175" s="143" t="str">
        <x:f>IF(A175="","",'課題入力'!E175)</x:f>
      </x:c>
    </x:row>
    <x:row r="176" ht="24" customHeight="1">
      <x:c r="A176" s="141" t="str">
        <x:f>IF('課題入力'!H176=1,'課題入力'!A176,"")</x:f>
      </x:c>
      <x:c r="B176" s="142" t="str">
        <x:f>IF(A176="","",'課題入力'!B176)</x:f>
      </x:c>
      <x:c r="C176" s="143" t="str">
        <x:f>IF(A176="","",'課題入力'!E176)</x:f>
      </x:c>
    </x:row>
    <x:row r="177" ht="24" customHeight="1">
      <x:c r="A177" s="141" t="str">
        <x:f>IF('課題入力'!H177=1,'課題入力'!A177,"")</x:f>
      </x:c>
      <x:c r="B177" s="142" t="str">
        <x:f>IF(A177="","",'課題入力'!B177)</x:f>
      </x:c>
      <x:c r="C177" s="143" t="str">
        <x:f>IF(A177="","",'課題入力'!E177)</x:f>
      </x:c>
    </x:row>
    <x:row r="178" ht="24" customHeight="1">
      <x:c r="A178" s="141" t="str">
        <x:f>IF('課題入力'!H178=1,'課題入力'!A178,"")</x:f>
      </x:c>
      <x:c r="B178" s="142" t="str">
        <x:f>IF(A178="","",'課題入力'!B178)</x:f>
      </x:c>
      <x:c r="C178" s="143" t="str">
        <x:f>IF(A178="","",'課題入力'!E178)</x:f>
      </x:c>
    </x:row>
    <x:row r="179" ht="24" customHeight="1">
      <x:c r="A179" s="141" t="str">
        <x:f>IF('課題入力'!H179=1,'課題入力'!A179,"")</x:f>
      </x:c>
      <x:c r="B179" s="142" t="str">
        <x:f>IF(A179="","",'課題入力'!B179)</x:f>
      </x:c>
      <x:c r="C179" s="143" t="str">
        <x:f>IF(A179="","",'課題入力'!E179)</x:f>
      </x:c>
    </x:row>
    <x:row r="180" ht="24" customHeight="1">
      <x:c r="A180" s="141" t="str">
        <x:f>IF('課題入力'!H180=1,'課題入力'!A180,"")</x:f>
      </x:c>
      <x:c r="B180" s="142" t="str">
        <x:f>IF(A180="","",'課題入力'!B180)</x:f>
      </x:c>
      <x:c r="C180" s="143" t="str">
        <x:f>IF(A180="","",'課題入力'!E180)</x:f>
      </x:c>
    </x:row>
    <x:row r="181" ht="24" customHeight="1">
      <x:c r="A181" s="141" t="str">
        <x:f>IF('課題入力'!H181=1,'課題入力'!A181,"")</x:f>
      </x:c>
      <x:c r="B181" s="142" t="str">
        <x:f>IF(A181="","",'課題入力'!B181)</x:f>
      </x:c>
      <x:c r="C181" s="143" t="str">
        <x:f>IF(A181="","",'課題入力'!E181)</x:f>
      </x:c>
    </x:row>
    <x:row r="182" ht="24" customHeight="1">
      <x:c r="A182" s="141" t="str">
        <x:f>IF('課題入力'!H182=1,'課題入力'!A182,"")</x:f>
      </x:c>
      <x:c r="B182" s="142" t="str">
        <x:f>IF(A182="","",'課題入力'!B182)</x:f>
      </x:c>
      <x:c r="C182" s="143" t="str">
        <x:f>IF(A182="","",'課題入力'!E182)</x:f>
      </x:c>
    </x:row>
    <x:row r="183" ht="24" customHeight="1">
      <x:c r="A183" s="141" t="str">
        <x:f>IF('課題入力'!H183=1,'課題入力'!A183,"")</x:f>
      </x:c>
      <x:c r="B183" s="142" t="str">
        <x:f>IF(A183="","",'課題入力'!B183)</x:f>
      </x:c>
      <x:c r="C183" s="143" t="str">
        <x:f>IF(A183="","",'課題入力'!E183)</x:f>
      </x:c>
    </x:row>
    <x:row r="184" ht="24" customHeight="1">
      <x:c r="A184" s="141" t="str">
        <x:f>IF('課題入力'!H184=1,'課題入力'!A184,"")</x:f>
      </x:c>
      <x:c r="B184" s="142" t="str">
        <x:f>IF(A184="","",'課題入力'!B184)</x:f>
      </x:c>
      <x:c r="C184" s="143" t="str">
        <x:f>IF(A184="","",'課題入力'!E184)</x:f>
      </x:c>
    </x:row>
    <x:row r="185" ht="24" customHeight="1">
      <x:c r="A185" s="141" t="str">
        <x:f>IF('課題入力'!H185=1,'課題入力'!A185,"")</x:f>
      </x:c>
      <x:c r="B185" s="142" t="str">
        <x:f>IF(A185="","",'課題入力'!B185)</x:f>
      </x:c>
      <x:c r="C185" s="143" t="str">
        <x:f>IF(A185="","",'課題入力'!E185)</x:f>
      </x:c>
    </x:row>
    <x:row r="186" ht="24" customHeight="1">
      <x:c r="A186" s="141" t="str">
        <x:f>IF('課題入力'!H186=1,'課題入力'!A186,"")</x:f>
      </x:c>
      <x:c r="B186" s="142" t="str">
        <x:f>IF(A186="","",'課題入力'!B186)</x:f>
      </x:c>
      <x:c r="C186" s="143" t="str">
        <x:f>IF(A186="","",'課題入力'!E186)</x:f>
      </x:c>
    </x:row>
    <x:row r="187" ht="24" customHeight="1">
      <x:c r="A187" s="141" t="str">
        <x:f>IF('課題入力'!H187=1,'課題入力'!A187,"")</x:f>
      </x:c>
      <x:c r="B187" s="142" t="str">
        <x:f>IF(A187="","",'課題入力'!B187)</x:f>
      </x:c>
      <x:c r="C187" s="143" t="str">
        <x:f>IF(A187="","",'課題入力'!E187)</x:f>
      </x:c>
    </x:row>
    <x:row r="188" ht="24" customHeight="1">
      <x:c r="A188" s="141" t="str">
        <x:f>IF('課題入力'!H188=1,'課題入力'!A188,"")</x:f>
      </x:c>
      <x:c r="B188" s="142" t="str">
        <x:f>IF(A188="","",'課題入力'!B188)</x:f>
      </x:c>
      <x:c r="C188" s="143" t="str">
        <x:f>IF(A188="","",'課題入力'!E188)</x:f>
      </x:c>
    </x:row>
    <x:row r="189" ht="24" customHeight="1">
      <x:c r="A189" s="141" t="str">
        <x:f>IF('課題入力'!H189=1,'課題入力'!A189,"")</x:f>
      </x:c>
      <x:c r="B189" s="142" t="str">
        <x:f>IF(A189="","",'課題入力'!B189)</x:f>
      </x:c>
      <x:c r="C189" s="143" t="str">
        <x:f>IF(A189="","",'課題入力'!E189)</x:f>
      </x:c>
    </x:row>
    <x:row r="190" ht="24" customHeight="1">
      <x:c r="A190" s="141" t="str">
        <x:f>IF('課題入力'!H190=1,'課題入力'!A190,"")</x:f>
      </x:c>
      <x:c r="B190" s="142" t="str">
        <x:f>IF(A190="","",'課題入力'!B190)</x:f>
      </x:c>
      <x:c r="C190" s="143" t="str">
        <x:f>IF(A190="","",'課題入力'!E190)</x:f>
      </x:c>
    </x:row>
    <x:row r="191" ht="24" customHeight="1">
      <x:c r="A191" s="141" t="str">
        <x:f>IF('課題入力'!H191=1,'課題入力'!A191,"")</x:f>
      </x:c>
      <x:c r="B191" s="142" t="str">
        <x:f>IF(A191="","",'課題入力'!B191)</x:f>
      </x:c>
      <x:c r="C191" s="143" t="str">
        <x:f>IF(A191="","",'課題入力'!E191)</x:f>
      </x:c>
    </x:row>
    <x:row r="192" ht="24" customHeight="1">
      <x:c r="A192" s="141" t="str">
        <x:f>IF('課題入力'!H192=1,'課題入力'!A192,"")</x:f>
      </x:c>
      <x:c r="B192" s="142" t="str">
        <x:f>IF(A192="","",'課題入力'!B192)</x:f>
      </x:c>
      <x:c r="C192" s="143" t="str">
        <x:f>IF(A192="","",'課題入力'!E192)</x:f>
      </x:c>
    </x:row>
    <x:row r="193" ht="24" customHeight="1">
      <x:c r="A193" s="141" t="str">
        <x:f>IF('課題入力'!H193=1,'課題入力'!A193,"")</x:f>
      </x:c>
      <x:c r="B193" s="142" t="str">
        <x:f>IF(A193="","",'課題入力'!B193)</x:f>
      </x:c>
      <x:c r="C193" s="143" t="str">
        <x:f>IF(A193="","",'課題入力'!E193)</x:f>
      </x:c>
    </x:row>
    <x:row r="194" ht="24" customHeight="1">
      <x:c r="A194" s="141" t="str">
        <x:f>IF('課題入力'!H194=1,'課題入力'!A194,"")</x:f>
      </x:c>
      <x:c r="B194" s="142" t="str">
        <x:f>IF(A194="","",'課題入力'!B194)</x:f>
      </x:c>
      <x:c r="C194" s="143" t="str">
        <x:f>IF(A194="","",'課題入力'!E194)</x:f>
      </x:c>
    </x:row>
    <x:row r="195" ht="24" customHeight="1">
      <x:c r="A195" s="141" t="str">
        <x:f>IF('課題入力'!H195=1,'課題入力'!A195,"")</x:f>
      </x:c>
      <x:c r="B195" s="142" t="str">
        <x:f>IF(A195="","",'課題入力'!B195)</x:f>
      </x:c>
      <x:c r="C195" s="143" t="str">
        <x:f>IF(A195="","",'課題入力'!E195)</x:f>
      </x:c>
    </x:row>
    <x:row r="196" ht="24" customHeight="1">
      <x:c r="A196" s="141" t="str">
        <x:f>IF('課題入力'!H196=1,'課題入力'!A196,"")</x:f>
      </x:c>
      <x:c r="B196" s="142" t="str">
        <x:f>IF(A196="","",'課題入力'!B196)</x:f>
      </x:c>
      <x:c r="C196" s="143" t="str">
        <x:f>IF(A196="","",'課題入力'!E196)</x:f>
      </x:c>
    </x:row>
    <x:row r="197" ht="24" customHeight="1">
      <x:c r="A197" s="141" t="str">
        <x:f>IF('課題入力'!H197=1,'課題入力'!A197,"")</x:f>
      </x:c>
      <x:c r="B197" s="142" t="str">
        <x:f>IF(A197="","",'課題入力'!B197)</x:f>
      </x:c>
      <x:c r="C197" s="143" t="str">
        <x:f>IF(A197="","",'課題入力'!E197)</x:f>
      </x:c>
    </x:row>
    <x:row r="198" ht="24" customHeight="1">
      <x:c r="A198" s="141" t="str">
        <x:f>IF('課題入力'!H198=1,'課題入力'!A198,"")</x:f>
      </x:c>
      <x:c r="B198" s="142" t="str">
        <x:f>IF(A198="","",'課題入力'!B198)</x:f>
      </x:c>
      <x:c r="C198" s="143" t="str">
        <x:f>IF(A198="","",'課題入力'!E198)</x:f>
      </x:c>
    </x:row>
    <x:row r="199" ht="24" customHeight="1">
      <x:c r="A199" s="141" t="str">
        <x:f>IF('課題入力'!H199=1,'課題入力'!A199,"")</x:f>
      </x:c>
      <x:c r="B199" s="142" t="str">
        <x:f>IF(A199="","",'課題入力'!B199)</x:f>
      </x:c>
      <x:c r="C199" s="143" t="str">
        <x:f>IF(A199="","",'課題入力'!E199)</x:f>
      </x:c>
    </x:row>
    <x:row r="200" ht="24" customHeight="1">
      <x:c r="A200" s="141" t="str">
        <x:f>IF('課題入力'!H200=1,'課題入力'!A200,"")</x:f>
      </x:c>
      <x:c r="B200" s="142" t="str">
        <x:f>IF(A200="","",'課題入力'!B200)</x:f>
      </x:c>
      <x:c r="C200" s="143" t="str">
        <x:f>IF(A200="","",'課題入力'!E200)</x:f>
      </x:c>
    </x:row>
    <x:row r="201" ht="24" customHeight="1">
      <x:c r="A201" s="141" t="str">
        <x:f>IF('課題入力'!H201=1,'課題入力'!A201,"")</x:f>
      </x:c>
      <x:c r="B201" s="142" t="str">
        <x:f>IF(A201="","",'課題入力'!B201)</x:f>
      </x:c>
      <x:c r="C201" s="143" t="str">
        <x:f>IF(A201="","",'課題入力'!E201)</x:f>
      </x:c>
    </x:row>
    <x:row r="202" ht="24" customHeight="1">
      <x:c r="A202" s="141" t="str">
        <x:f>IF('課題入力'!H202=1,'課題入力'!A202,"")</x:f>
      </x:c>
      <x:c r="B202" s="142" t="str">
        <x:f>IF(A202="","",'課題入力'!B202)</x:f>
      </x:c>
      <x:c r="C202" s="143" t="str">
        <x:f>IF(A202="","",'課題入力'!E202)</x:f>
      </x:c>
    </x:row>
    <x:row r="203" ht="24" customHeight="1">
      <x:c r="A203" s="141" t="str">
        <x:f>IF('課題入力'!H203=1,'課題入力'!A203,"")</x:f>
      </x:c>
      <x:c r="B203" s="142" t="str">
        <x:f>IF(A203="","",'課題入力'!B203)</x:f>
      </x:c>
      <x:c r="C203" s="143" t="str">
        <x:f>IF(A203="","",'課題入力'!E203)</x:f>
      </x:c>
    </x:row>
    <x:row r="204" ht="24" customHeight="1">
      <x:c r="A204" s="141" t="str">
        <x:f>IF('課題入力'!H204=1,'課題入力'!A204,"")</x:f>
      </x:c>
      <x:c r="B204" s="142" t="str">
        <x:f>IF(A204="","",'課題入力'!B204)</x:f>
      </x:c>
      <x:c r="C204" s="143" t="str">
        <x:f>IF(A204="","",'課題入力'!E204)</x:f>
      </x:c>
    </x:row>
    <x:row r="205" ht="24" customHeight="1">
      <x:c r="A205" s="141" t="str">
        <x:f>IF('課題入力'!H205=1,'課題入力'!A205,"")</x:f>
      </x:c>
      <x:c r="B205" s="142" t="str">
        <x:f>IF(A205="","",'課題入力'!B205)</x:f>
      </x:c>
      <x:c r="C205" s="143" t="str">
        <x:f>IF(A205="","",'課題入力'!E205)</x:f>
      </x:c>
    </x:row>
  </x:sheetData>
  <x:mergeCells>
    <x:mergeCell ref="A2:C2"/>
    <x:mergeCell ref="A3:C4"/>
  </x:mergeCells>
  <x:pageMargins left="0.7" right="0.7" top="0.75" bottom="0.75" header="0.3" footer="0.3"/>
</x:worksheet>
</file>